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4"/>
  <workbookPr codeName="ThisWorkbook"/>
  <mc:AlternateContent xmlns:mc="http://schemas.openxmlformats.org/markup-compatibility/2006">
    <mc:Choice Requires="x15">
      <x15ac:absPath xmlns:x15ac="http://schemas.microsoft.com/office/spreadsheetml/2010/11/ac" url="https://cbncloud.sharepoint.com/sites/CMP-CustomerVIP/Shared Documents/BUSOL x CSO Prospect/Tokio Marine/"/>
    </mc:Choice>
  </mc:AlternateContent>
  <xr:revisionPtr revIDLastSave="529" documentId="13_ncr:1_{97D1DD2C-14CE-42BC-B717-E7DC22C136DA}" xr6:coauthVersionLast="47" xr6:coauthVersionMax="47" xr10:uidLastSave="{8F26B5BC-8C0C-452C-9C53-A7B22CC18D18}"/>
  <bookViews>
    <workbookView minimized="1" xWindow="5480" yWindow="3490" windowWidth="14400" windowHeight="7270" xr2:uid="{00000000-000D-0000-FFFF-FFFF00000000}"/>
  </bookViews>
  <sheets>
    <sheet name="ALL Phase" sheetId="16" r:id="rId1"/>
    <sheet name="Sheet1" sheetId="12" state="hidden" r:id="rId2"/>
  </sheets>
  <definedNames>
    <definedName name="Display_Week" localSheetId="0">'ALL Phase'!$Q$2</definedName>
    <definedName name="Display_Week">#REF!</definedName>
    <definedName name="_xlnm.Print_Titles" localSheetId="0">'ALL Phase'!$4:$6</definedName>
    <definedName name="Project_Start" localSheetId="0">'ALL Phase'!$Q$1</definedName>
    <definedName name="Project_Start">#REF!</definedName>
    <definedName name="task_end" localSheetId="0">'ALL Phase'!$F1</definedName>
    <definedName name="task_end" localSheetId="1">#REF!</definedName>
    <definedName name="task_end">#REF!</definedName>
    <definedName name="task_progress" localSheetId="0">'ALL Phase'!$D1</definedName>
    <definedName name="task_progress" localSheetId="1">#REF!</definedName>
    <definedName name="task_progress">#REF!</definedName>
    <definedName name="task_start" localSheetId="0">'ALL Phase'!$E1</definedName>
    <definedName name="task_start" localSheetId="1">#REF!</definedName>
    <definedName name="task_start">#REF!</definedName>
    <definedName name="today" localSheetId="0">TODAY()</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0" i="16" l="1"/>
  <c r="H29" i="16"/>
  <c r="H15" i="16"/>
  <c r="H10" i="16"/>
  <c r="H9" i="16"/>
  <c r="F35" i="16"/>
  <c r="AK5" i="16" l="1"/>
  <c r="H7" i="16"/>
  <c r="I5" i="16"/>
  <c r="AK6" i="16" l="1"/>
  <c r="AL5" i="16"/>
  <c r="I6" i="16"/>
  <c r="J5" i="16"/>
  <c r="AL6" i="16" l="1"/>
  <c r="AM5" i="16"/>
  <c r="J6" i="16"/>
  <c r="K5" i="16"/>
  <c r="AM6" i="16" l="1"/>
  <c r="AN5" i="16"/>
  <c r="K6" i="16"/>
  <c r="L5" i="16"/>
  <c r="AN6" i="16" l="1"/>
  <c r="AO5" i="16"/>
  <c r="L6" i="16"/>
  <c r="M5" i="16"/>
  <c r="AO6" i="16" l="1"/>
  <c r="AP5" i="16"/>
  <c r="M6" i="16"/>
  <c r="N5" i="16"/>
  <c r="AP6" i="16" l="1"/>
  <c r="AQ5" i="16"/>
  <c r="N6" i="16"/>
  <c r="O5" i="16"/>
  <c r="AQ6" i="16" l="1"/>
  <c r="O6" i="16"/>
  <c r="P5" i="16"/>
  <c r="P6" i="16" l="1"/>
  <c r="Q5" i="16"/>
  <c r="Q6" i="16" l="1"/>
  <c r="R5" i="16"/>
  <c r="R6" i="16" l="1"/>
  <c r="S5" i="16"/>
  <c r="S6" i="16" l="1"/>
  <c r="T5" i="16"/>
  <c r="T6" i="16" l="1"/>
  <c r="U5" i="16"/>
  <c r="U6" i="16" l="1"/>
  <c r="V5" i="16"/>
  <c r="V6" i="16" l="1"/>
  <c r="W5" i="16"/>
  <c r="W6" i="16" l="1"/>
  <c r="X5" i="16"/>
  <c r="X6" i="16" l="1"/>
  <c r="Y5" i="16"/>
  <c r="Y6" i="16" l="1"/>
  <c r="Z5" i="16"/>
  <c r="Z6" i="16" l="1"/>
  <c r="AA5" i="16"/>
  <c r="AA6" i="16" l="1"/>
  <c r="AB5" i="16"/>
  <c r="AB6" i="16" l="1"/>
  <c r="AC5" i="16"/>
  <c r="AC6" i="16" l="1"/>
  <c r="AD5" i="16"/>
  <c r="AD6" i="16" l="1"/>
  <c r="AE5" i="16"/>
  <c r="AE6" i="16" l="1"/>
  <c r="AF5" i="16"/>
  <c r="AF6" i="16" l="1"/>
  <c r="AG5" i="16"/>
  <c r="AG6" i="16" l="1"/>
  <c r="AH5" i="16"/>
  <c r="AH6" i="16" l="1"/>
  <c r="AI5" i="16"/>
  <c r="AI6" i="16" l="1"/>
  <c r="AJ5" i="16"/>
  <c r="AJ6" i="16" s="1"/>
</calcChain>
</file>

<file path=xl/sharedStrings.xml><?xml version="1.0" encoding="utf-8"?>
<sst xmlns="http://schemas.openxmlformats.org/spreadsheetml/2006/main" count="67" uniqueCount="44">
  <si>
    <t>Deploy Proxmox Private Cloud Timeline Yutaka Manufacturing</t>
  </si>
  <si>
    <t>Project start:</t>
  </si>
  <si>
    <t>Display week:</t>
  </si>
  <si>
    <t>Project lead</t>
  </si>
  <si>
    <t>Week 1</t>
  </si>
  <si>
    <t>Week 2</t>
  </si>
  <si>
    <t>Week 3</t>
  </si>
  <si>
    <t>Week 4</t>
  </si>
  <si>
    <t>Week 5</t>
  </si>
  <si>
    <t>Timeline description</t>
  </si>
  <si>
    <t>Assigned to</t>
  </si>
  <si>
    <t>Progress</t>
  </si>
  <si>
    <t>Start</t>
  </si>
  <si>
    <t>Days</t>
  </si>
  <si>
    <t xml:space="preserve">Do not delete this row. This row is hidden to preserve a formula that is used to highlight the current day within the project schedule. </t>
  </si>
  <si>
    <t>Preparation</t>
  </si>
  <si>
    <t>Preparation Networking Design</t>
  </si>
  <si>
    <t>CBNCloud and Customer</t>
  </si>
  <si>
    <t xml:space="preserve">Prepare Baremetal Server </t>
  </si>
  <si>
    <t>Deployment Proxmox New Server</t>
  </si>
  <si>
    <t>Setup Node Server on Rack</t>
  </si>
  <si>
    <t>Setup Network Node to Cluster and Storage Server</t>
  </si>
  <si>
    <t>Configure Network Cluster and Storage Server</t>
  </si>
  <si>
    <t>Install Proxmox</t>
  </si>
  <si>
    <t>CBNCloud</t>
  </si>
  <si>
    <t>Update and Config Cluster Proxmox</t>
  </si>
  <si>
    <t>Migration VM from VMware Server 1 to Proxmox New Server</t>
  </si>
  <si>
    <t>Setup Connection from VMware Server 1 to Proxmox New Server</t>
  </si>
  <si>
    <t>CBNCloud &amp; Customer</t>
  </si>
  <si>
    <t>Attach ESXI to Proxmox dashboard</t>
  </si>
  <si>
    <t>Start Migration</t>
  </si>
  <si>
    <t xml:space="preserve">   Start the VM and Reconfig IP</t>
  </si>
  <si>
    <t>Verify Data</t>
  </si>
  <si>
    <t>Migration VM from VMware Server 2 to Proxmox New Server</t>
  </si>
  <si>
    <t>Setup Connection from VMware Server 2 to Proxmox New Server</t>
  </si>
  <si>
    <t>Testing</t>
  </si>
  <si>
    <t>Test Connectivity each Nodes</t>
  </si>
  <si>
    <t>Test Create VM</t>
  </si>
  <si>
    <t>Test VM Migration to another node</t>
  </si>
  <si>
    <t>Monitoring and UAT</t>
  </si>
  <si>
    <t>UAT to Customer</t>
  </si>
  <si>
    <t>Total</t>
  </si>
  <si>
    <t>Note :  Bandwidth 1G</t>
  </si>
  <si>
    <t xml:space="preserve">Re-build for VM AD by user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</si>
</sst>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1" formatCode="_(* #,##0_);_(* \(#,##0\);_(* &quot;-&quot;_);_(@_)"/>
    <numFmt numFmtId="43" formatCode="_(* #,##0.00_);_(* \(#,##0.00\);_(* &quot;-&quot;??_);_(@_)"/>
    <numFmt numFmtId="164" formatCode="m/d/yy;@"/>
    <numFmt numFmtId="165" formatCode="ddd\,\ m/d/yyyy"/>
    <numFmt numFmtId="166" formatCode="mmm\ d\,\ yyyy"/>
    <numFmt numFmtId="167" formatCode="d"/>
  </numFmts>
  <fonts count="21">
    <font>
      <sz val="11"/>
      <color theme="1"/>
      <name val="Arial"/>
      <family val="2"/>
      <scheme val="minor"/>
    </font>
    <font>
      <sz val="10"/>
      <name val="Arial"/>
      <family val="2"/>
      <scheme val="minor"/>
    </font>
    <font>
      <u/>
      <sz val="11"/>
      <color indexed="12"/>
      <name val="Arial"/>
      <family val="2"/>
    </font>
    <font>
      <sz val="11"/>
      <name val="Arial"/>
      <family val="2"/>
      <scheme val="minor"/>
    </font>
    <font>
      <sz val="11"/>
      <color theme="1"/>
      <name val="Arial"/>
      <family val="2"/>
      <scheme val="minor"/>
    </font>
    <font>
      <sz val="14"/>
      <color theme="1"/>
      <name val="Arial"/>
      <family val="2"/>
      <scheme val="minor"/>
    </font>
    <font>
      <b/>
      <sz val="22"/>
      <color theme="1" tint="0.34998626667073579"/>
      <name val="Arial Black"/>
      <family val="2"/>
      <scheme val="major"/>
    </font>
    <font>
      <sz val="11"/>
      <color theme="0"/>
      <name val="Arial"/>
      <family val="2"/>
      <scheme val="minor"/>
    </font>
    <font>
      <sz val="16"/>
      <color theme="1"/>
      <name val="Arial"/>
      <family val="2"/>
      <scheme val="minor"/>
    </font>
    <font>
      <b/>
      <sz val="11"/>
      <name val="Arial"/>
      <family val="2"/>
      <scheme val="minor"/>
    </font>
    <font>
      <sz val="10"/>
      <color theme="1"/>
      <name val="Arial"/>
      <family val="2"/>
      <scheme val="minor"/>
    </font>
    <font>
      <b/>
      <sz val="8"/>
      <name val="Arial"/>
      <family val="2"/>
      <scheme val="minor"/>
    </font>
    <font>
      <b/>
      <sz val="8"/>
      <color theme="1"/>
      <name val="Arial"/>
      <family val="2"/>
      <scheme val="minor"/>
    </font>
    <font>
      <b/>
      <sz val="16"/>
      <color theme="9"/>
      <name val="Arial"/>
      <family val="2"/>
      <scheme val="minor"/>
    </font>
    <font>
      <b/>
      <sz val="16"/>
      <color theme="9"/>
      <name val="Arial Black"/>
      <family val="2"/>
      <scheme val="major"/>
    </font>
    <font>
      <sz val="11"/>
      <color theme="1"/>
      <name val="Arial Black"/>
      <family val="2"/>
      <scheme val="major"/>
    </font>
    <font>
      <b/>
      <sz val="14"/>
      <color theme="8" tint="-0.499984740745262"/>
      <name val="Arial"/>
      <family val="2"/>
      <scheme val="minor"/>
    </font>
    <font>
      <b/>
      <sz val="11"/>
      <color theme="6" tint="-0.249977111117893"/>
      <name val="Arial"/>
      <family val="2"/>
      <scheme val="minor"/>
    </font>
    <font>
      <b/>
      <sz val="36"/>
      <color theme="9"/>
      <name val="Arial Black"/>
      <family val="2"/>
      <scheme val="major"/>
    </font>
    <font>
      <sz val="8"/>
      <name val="Arial"/>
      <family val="2"/>
      <scheme val="minor"/>
    </font>
    <font>
      <sz val="12"/>
      <color theme="1"/>
      <name val="Arial"/>
      <family val="2"/>
      <scheme val="minor"/>
    </font>
  </fonts>
  <fills count="8">
    <fill>
      <patternFill patternType="none"/>
    </fill>
    <fill>
      <patternFill patternType="gray125"/>
    </fill>
    <fill>
      <patternFill patternType="solid">
        <fgColor theme="0" tint="-4.9989318521683403E-2"/>
        <bgColor indexed="64"/>
      </patternFill>
    </fill>
    <fill>
      <patternFill patternType="solid">
        <fgColor theme="0" tint="-0.14996795556505021"/>
        <bgColor indexed="64"/>
      </patternFill>
    </fill>
    <fill>
      <patternFill patternType="solid">
        <fgColor theme="6" tint="-0.249977111117893"/>
        <bgColor indexed="64"/>
      </patternFill>
    </fill>
    <fill>
      <patternFill patternType="solid">
        <fgColor theme="0"/>
        <bgColor indexed="64"/>
      </patternFill>
    </fill>
    <fill>
      <patternFill patternType="solid">
        <fgColor rgb="FFFF0000"/>
        <bgColor indexed="64"/>
      </patternFill>
    </fill>
    <fill>
      <patternFill patternType="solid">
        <fgColor rgb="FF427FC2"/>
        <bgColor indexed="64"/>
      </patternFill>
    </fill>
  </fills>
  <borders count="8">
    <border>
      <left/>
      <right/>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theme="4"/>
      </left>
      <right/>
      <top style="thin">
        <color theme="4" tint="0.39994506668294322"/>
      </top>
      <bottom/>
      <diagonal/>
    </border>
    <border>
      <left style="thin">
        <color theme="0" tint="-0.24994659260841701"/>
      </left>
      <right/>
      <top style="thin">
        <color theme="4" tint="0.39994506668294322"/>
      </top>
      <bottom/>
      <diagonal/>
    </border>
    <border>
      <left style="thin">
        <color theme="0" tint="-0.24994659260841701"/>
      </left>
      <right style="thin">
        <color theme="4"/>
      </right>
      <top style="thin">
        <color theme="4" tint="0.39994506668294322"/>
      </top>
      <bottom/>
      <diagonal/>
    </border>
  </borders>
  <cellStyleXfs count="14">
    <xf numFmtId="0" fontId="0" fillId="0" borderId="0"/>
    <xf numFmtId="0" fontId="2" fillId="0" borderId="0" applyNumberFormat="0" applyFill="0" applyBorder="0" applyAlignment="0" applyProtection="0">
      <alignment vertical="top"/>
      <protection locked="0"/>
    </xf>
    <xf numFmtId="9" fontId="4" fillId="0" borderId="0" applyFont="0" applyFill="0" applyBorder="0" applyAlignment="0" applyProtection="0"/>
    <xf numFmtId="0" fontId="7" fillId="0" borderId="0"/>
    <xf numFmtId="43" fontId="4" fillId="0" borderId="2"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indent="1"/>
    </xf>
    <xf numFmtId="165" fontId="4" fillId="0" borderId="2">
      <alignment horizontal="center" vertical="center"/>
    </xf>
    <xf numFmtId="164" fontId="4" fillId="0" borderId="1" applyFill="0">
      <alignment horizontal="center" vertical="center"/>
    </xf>
    <xf numFmtId="0" fontId="4" fillId="0" borderId="1" applyFill="0">
      <alignment horizontal="center" vertical="center"/>
    </xf>
    <xf numFmtId="0" fontId="4" fillId="0" borderId="1" applyFill="0">
      <alignment horizontal="left" vertical="center" indent="2"/>
    </xf>
    <xf numFmtId="41" fontId="4" fillId="0" borderId="0" applyFont="0" applyFill="0" applyBorder="0" applyAlignment="0" applyProtection="0"/>
  </cellStyleXfs>
  <cellXfs count="69">
    <xf numFmtId="0" fontId="0" fillId="0" borderId="0" xfId="0"/>
    <xf numFmtId="0" fontId="1" fillId="0" borderId="0" xfId="0" applyFont="1"/>
    <xf numFmtId="0" fontId="0" fillId="0" borderId="0" xfId="0" applyAlignment="1">
      <alignment horizontal="center"/>
    </xf>
    <xf numFmtId="0" fontId="3" fillId="0" borderId="1" xfId="0" applyFont="1" applyBorder="1" applyAlignment="1">
      <alignment horizontal="center" vertical="center"/>
    </xf>
    <xf numFmtId="0" fontId="7" fillId="0" borderId="0" xfId="3"/>
    <xf numFmtId="0" fontId="7" fillId="0" borderId="0" xfId="3" applyAlignment="1">
      <alignment wrapText="1"/>
    </xf>
    <xf numFmtId="0" fontId="3" fillId="0" borderId="0" xfId="0" applyFont="1" applyAlignment="1">
      <alignment horizontal="center" vertical="center"/>
    </xf>
    <xf numFmtId="0" fontId="8" fillId="0" borderId="0" xfId="0" applyFont="1"/>
    <xf numFmtId="0" fontId="9" fillId="0" borderId="0" xfId="0" applyFont="1" applyAlignment="1">
      <alignment horizontal="left" indent="1"/>
    </xf>
    <xf numFmtId="0" fontId="4" fillId="0" borderId="0" xfId="0" applyFont="1"/>
    <xf numFmtId="0" fontId="4" fillId="0" borderId="0" xfId="8">
      <alignment horizontal="right" indent="1"/>
    </xf>
    <xf numFmtId="0" fontId="4" fillId="0" borderId="0" xfId="0" applyFont="1" applyAlignment="1">
      <alignment horizontal="center"/>
    </xf>
    <xf numFmtId="0" fontId="1" fillId="0" borderId="0" xfId="1" applyFont="1" applyAlignment="1" applyProtection="1">
      <alignment horizontal="left" vertical="top" indent="1"/>
    </xf>
    <xf numFmtId="0" fontId="4" fillId="0" borderId="0" xfId="0" applyFont="1" applyAlignment="1">
      <alignment horizontal="left" indent="1"/>
    </xf>
    <xf numFmtId="0" fontId="4" fillId="0" borderId="0" xfId="0" applyFont="1" applyAlignment="1">
      <alignment vertical="center"/>
    </xf>
    <xf numFmtId="0" fontId="13" fillId="0" borderId="0" xfId="7" applyFont="1" applyAlignment="1">
      <alignment horizontal="left" vertical="center" indent="1"/>
    </xf>
    <xf numFmtId="0" fontId="0" fillId="0" borderId="0" xfId="0" applyAlignment="1">
      <alignment horizontal="left" wrapText="1" indent="2"/>
    </xf>
    <xf numFmtId="0" fontId="0" fillId="0" borderId="0" xfId="0" applyAlignment="1">
      <alignment horizontal="center" vertical="center" wrapText="1"/>
    </xf>
    <xf numFmtId="9" fontId="0" fillId="0" borderId="0" xfId="2" applyFont="1" applyFill="1" applyBorder="1" applyAlignment="1">
      <alignment horizontal="center" vertical="center"/>
    </xf>
    <xf numFmtId="164" fontId="0" fillId="0" borderId="0" xfId="10" applyFont="1" applyFill="1" applyBorder="1">
      <alignment horizontal="center" vertical="center"/>
    </xf>
    <xf numFmtId="0" fontId="16" fillId="0" borderId="0" xfId="0" applyFont="1" applyAlignment="1">
      <alignment horizontal="left" vertical="center" wrapText="1"/>
    </xf>
    <xf numFmtId="0" fontId="0" fillId="0" borderId="0" xfId="0" applyAlignment="1">
      <alignment horizontal="center" vertical="center"/>
    </xf>
    <xf numFmtId="9" fontId="3" fillId="0" borderId="0" xfId="2" applyFont="1" applyFill="1" applyBorder="1" applyAlignment="1">
      <alignment horizontal="center" vertical="center"/>
    </xf>
    <xf numFmtId="0" fontId="0" fillId="0" borderId="0" xfId="0" applyAlignment="1">
      <alignment horizontal="left" vertical="center" wrapText="1" indent="1"/>
    </xf>
    <xf numFmtId="9" fontId="17" fillId="0" borderId="0" xfId="2" applyFont="1" applyFill="1" applyBorder="1" applyAlignment="1">
      <alignment horizontal="center" vertical="center"/>
    </xf>
    <xf numFmtId="164" fontId="3" fillId="0" borderId="0" xfId="10" applyFont="1" applyFill="1" applyBorder="1">
      <alignment horizontal="center" vertical="center"/>
    </xf>
    <xf numFmtId="0" fontId="0" fillId="0" borderId="3" xfId="0" applyBorder="1"/>
    <xf numFmtId="0" fontId="9" fillId="0" borderId="0" xfId="0" applyFont="1" applyAlignment="1">
      <alignment horizontal="left" vertical="center" indent="1"/>
    </xf>
    <xf numFmtId="0" fontId="9" fillId="4" borderId="0" xfId="0" applyFont="1" applyFill="1" applyAlignment="1">
      <alignment horizontal="center" vertical="center" wrapText="1"/>
    </xf>
    <xf numFmtId="0" fontId="20" fillId="0" borderId="0" xfId="0" applyFont="1"/>
    <xf numFmtId="0" fontId="4" fillId="0" borderId="4" xfId="0" applyFont="1" applyBorder="1" applyAlignment="1">
      <alignment vertical="center"/>
    </xf>
    <xf numFmtId="167" fontId="11" fillId="3" borderId="4" xfId="0" applyNumberFormat="1" applyFont="1" applyFill="1" applyBorder="1" applyAlignment="1">
      <alignment horizontal="center" vertical="center"/>
    </xf>
    <xf numFmtId="0" fontId="12" fillId="2" borderId="4" xfId="0" applyFont="1" applyFill="1" applyBorder="1" applyAlignment="1">
      <alignment horizontal="center" vertical="center" shrinkToFit="1"/>
    </xf>
    <xf numFmtId="0" fontId="0" fillId="0" borderId="3" xfId="0" applyBorder="1" applyAlignment="1">
      <alignment vertical="center"/>
    </xf>
    <xf numFmtId="0" fontId="0" fillId="5" borderId="3" xfId="0" applyFill="1" applyBorder="1" applyAlignment="1">
      <alignment vertical="center"/>
    </xf>
    <xf numFmtId="2" fontId="0" fillId="0" borderId="0" xfId="13" applyNumberFormat="1" applyFont="1" applyFill="1" applyBorder="1" applyAlignment="1">
      <alignment horizontal="center" vertical="center"/>
    </xf>
    <xf numFmtId="0" fontId="3" fillId="2" borderId="5" xfId="0" applyFont="1" applyFill="1" applyBorder="1" applyAlignment="1">
      <alignment horizontal="left" vertical="center" wrapText="1" indent="1"/>
    </xf>
    <xf numFmtId="0" fontId="0" fillId="2" borderId="6" xfId="0" applyFill="1" applyBorder="1" applyAlignment="1">
      <alignment horizontal="center" vertical="center"/>
    </xf>
    <xf numFmtId="9" fontId="17" fillId="2" borderId="6" xfId="2" applyFont="1" applyFill="1" applyBorder="1" applyAlignment="1">
      <alignment horizontal="center" vertical="center"/>
    </xf>
    <xf numFmtId="164" fontId="3" fillId="2" borderId="6" xfId="10" applyFont="1" applyFill="1" applyBorder="1">
      <alignment horizontal="center" vertical="center"/>
    </xf>
    <xf numFmtId="0" fontId="0" fillId="0" borderId="6" xfId="0" applyBorder="1" applyAlignment="1">
      <alignment horizontal="center" vertical="center"/>
    </xf>
    <xf numFmtId="9" fontId="17" fillId="0" borderId="6" xfId="2" applyFont="1" applyBorder="1" applyAlignment="1">
      <alignment horizontal="center" vertical="center"/>
    </xf>
    <xf numFmtId="164" fontId="3" fillId="0" borderId="6" xfId="10" applyFont="1" applyBorder="1">
      <alignment horizontal="center" vertical="center"/>
    </xf>
    <xf numFmtId="0" fontId="4" fillId="0" borderId="3" xfId="0" applyFont="1" applyBorder="1" applyAlignment="1">
      <alignment vertical="center"/>
    </xf>
    <xf numFmtId="0" fontId="4" fillId="5" borderId="3" xfId="0" applyFont="1" applyFill="1" applyBorder="1" applyAlignment="1">
      <alignment vertical="center"/>
    </xf>
    <xf numFmtId="0" fontId="4" fillId="6" borderId="3" xfId="0" applyFont="1" applyFill="1" applyBorder="1" applyAlignment="1">
      <alignment vertical="center"/>
    </xf>
    <xf numFmtId="0" fontId="0" fillId="6" borderId="3" xfId="0" applyFill="1" applyBorder="1" applyAlignment="1">
      <alignment vertical="center"/>
    </xf>
    <xf numFmtId="0" fontId="4" fillId="7" borderId="3" xfId="0" applyFont="1" applyFill="1" applyBorder="1" applyAlignment="1">
      <alignment vertical="center"/>
    </xf>
    <xf numFmtId="0" fontId="3" fillId="0" borderId="5" xfId="0" applyFont="1" applyBorder="1" applyAlignment="1">
      <alignment horizontal="left" vertical="center" wrapText="1" indent="1"/>
    </xf>
    <xf numFmtId="0" fontId="0" fillId="7" borderId="3" xfId="0" applyFill="1" applyBorder="1" applyAlignment="1">
      <alignment vertical="center"/>
    </xf>
    <xf numFmtId="0" fontId="4" fillId="0" borderId="0" xfId="0" applyFont="1" applyAlignment="1">
      <alignment horizontal="left" vertical="center"/>
    </xf>
    <xf numFmtId="0" fontId="0" fillId="0" borderId="0" xfId="0" applyAlignment="1">
      <alignment horizontal="left" vertical="center"/>
    </xf>
    <xf numFmtId="0" fontId="0" fillId="6" borderId="3" xfId="0" applyFill="1" applyBorder="1"/>
    <xf numFmtId="0" fontId="0" fillId="5" borderId="3" xfId="0" applyFill="1" applyBorder="1"/>
    <xf numFmtId="2" fontId="4" fillId="0" borderId="0" xfId="0" applyNumberFormat="1" applyFont="1"/>
    <xf numFmtId="2" fontId="9" fillId="4" borderId="0" xfId="0" applyNumberFormat="1" applyFont="1" applyFill="1" applyAlignment="1">
      <alignment horizontal="center" vertical="center" wrapText="1"/>
    </xf>
    <xf numFmtId="2" fontId="0" fillId="2" borderId="7" xfId="13" applyNumberFormat="1" applyFont="1" applyFill="1" applyBorder="1" applyAlignment="1">
      <alignment horizontal="center" vertical="center"/>
    </xf>
    <xf numFmtId="2" fontId="0" fillId="0" borderId="7" xfId="13" applyNumberFormat="1" applyFont="1" applyBorder="1" applyAlignment="1">
      <alignment horizontal="center" vertical="center"/>
    </xf>
    <xf numFmtId="2" fontId="16" fillId="0" borderId="0" xfId="0" applyNumberFormat="1" applyFont="1" applyAlignment="1">
      <alignment horizontal="left" vertical="center" wrapText="1"/>
    </xf>
    <xf numFmtId="2" fontId="0" fillId="0" borderId="0" xfId="0" applyNumberFormat="1"/>
    <xf numFmtId="2" fontId="20" fillId="0" borderId="0" xfId="0" applyNumberFormat="1" applyFont="1"/>
    <xf numFmtId="0" fontId="18" fillId="0" borderId="0" xfId="5" applyFont="1" applyAlignment="1">
      <alignment horizontal="center" wrapText="1"/>
    </xf>
    <xf numFmtId="0" fontId="13" fillId="0" borderId="0" xfId="8" applyFont="1" applyAlignment="1">
      <alignment horizontal="left"/>
    </xf>
    <xf numFmtId="165" fontId="14" fillId="0" borderId="0" xfId="9" applyFont="1" applyBorder="1" applyAlignment="1">
      <alignment horizontal="left"/>
    </xf>
    <xf numFmtId="0" fontId="14" fillId="0" borderId="0" xfId="0" applyFont="1" applyAlignment="1">
      <alignment horizontal="left"/>
    </xf>
    <xf numFmtId="0" fontId="7" fillId="0" borderId="0" xfId="3" applyAlignment="1">
      <alignment wrapText="1"/>
    </xf>
    <xf numFmtId="166" fontId="10" fillId="2" borderId="4" xfId="0" applyNumberFormat="1" applyFont="1" applyFill="1" applyBorder="1" applyAlignment="1">
      <alignment horizontal="center" vertical="center" wrapText="1"/>
    </xf>
    <xf numFmtId="0" fontId="4" fillId="0" borderId="0" xfId="0" applyFont="1" applyAlignment="1"/>
    <xf numFmtId="0" fontId="15" fillId="0" borderId="0" xfId="0" applyFont="1" applyAlignment="1"/>
  </cellXfs>
  <cellStyles count="14">
    <cellStyle name="Comma" xfId="4" builtinId="3" customBuiltin="1"/>
    <cellStyle name="Comma [0]" xfId="13" builtinId="6"/>
    <cellStyle name="Date" xfId="10"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ame" xfId="11" xr:uid="{B2D3C1EE-6B41-4801-AAFC-C2274E49E503}"/>
    <cellStyle name="Normal" xfId="0" builtinId="0"/>
    <cellStyle name="Percent" xfId="2" builtinId="5"/>
    <cellStyle name="Project Start" xfId="9" xr:uid="{8EB8A09A-C31C-40A3-B2C1-9449520178B8}"/>
    <cellStyle name="Task" xfId="12" xr:uid="{6391D789-272B-4DD2-9BF3-2CDCF610FA41}"/>
    <cellStyle name="Title" xfId="5" builtinId="15" customBuiltin="1"/>
    <cellStyle name="zHiddenText" xfId="3" xr:uid="{26E66EE6-E33F-4D77-BAE4-0FB4F5BBF673}"/>
  </cellStyles>
  <dxfs count="52">
    <dxf>
      <numFmt numFmtId="2" formatCode="0.00"/>
    </dxf>
    <dxf>
      <numFmt numFmtId="2" formatCode="0.00"/>
    </dxf>
    <dxf>
      <font>
        <b/>
        <strike val="0"/>
        <outline val="0"/>
        <shadow val="0"/>
        <u val="none"/>
        <vertAlign val="baseline"/>
        <sz val="11"/>
        <color auto="1"/>
        <name val="Arial"/>
        <family val="2"/>
        <scheme val="minor"/>
      </font>
      <fill>
        <patternFill patternType="solid">
          <fgColor indexed="64"/>
          <bgColor theme="6" tint="-0.249977111117893"/>
        </patternFill>
      </fill>
    </dxf>
    <dxf>
      <border>
        <left style="thin">
          <color theme="5"/>
        </left>
        <right style="thin">
          <color theme="5"/>
        </right>
        <vertical/>
        <horizontal/>
      </border>
    </dxf>
    <dxf>
      <border>
        <left style="thin">
          <color theme="5"/>
        </left>
        <right style="thin">
          <color theme="5"/>
        </right>
        <vertical/>
        <horizontal/>
      </border>
    </dxf>
    <dxf>
      <border>
        <left style="thin">
          <color theme="5"/>
        </left>
        <right style="thin">
          <color theme="5"/>
        </right>
        <vertical/>
        <horizontal/>
      </border>
    </dxf>
    <dxf>
      <border>
        <left style="thin">
          <color theme="5"/>
        </left>
        <right style="thin">
          <color theme="5"/>
        </right>
        <vertical/>
        <horizontal/>
      </border>
    </dxf>
    <dxf>
      <border>
        <left style="thin">
          <color theme="5"/>
        </left>
        <right style="thin">
          <color theme="5"/>
        </right>
        <vertical/>
        <horizontal/>
      </border>
    </dxf>
    <dxf>
      <border>
        <left style="thin">
          <color theme="5"/>
        </left>
        <right style="thin">
          <color theme="5"/>
        </right>
        <vertical/>
        <horizontal/>
      </border>
    </dxf>
    <dxf>
      <border>
        <left style="thin">
          <color theme="5"/>
        </left>
        <right style="thin">
          <color theme="5"/>
        </right>
        <vertical/>
        <horizontal/>
      </border>
    </dxf>
    <dxf>
      <border>
        <left style="thin">
          <color theme="5"/>
        </left>
        <right style="thin">
          <color theme="5"/>
        </right>
        <vertical/>
        <horizontal/>
      </border>
    </dxf>
    <dxf>
      <border>
        <left style="thin">
          <color theme="5"/>
        </left>
        <right style="thin">
          <color theme="5"/>
        </right>
        <vertical/>
        <horizontal/>
      </border>
    </dxf>
    <dxf>
      <border>
        <left style="thin">
          <color theme="5"/>
        </left>
        <right style="thin">
          <color theme="5"/>
        </right>
        <vertical/>
        <horizontal/>
      </border>
    </dxf>
    <dxf>
      <border>
        <left style="thin">
          <color theme="5"/>
        </left>
        <right style="thin">
          <color theme="5"/>
        </right>
        <vertical/>
        <horizontal/>
      </border>
    </dxf>
    <dxf>
      <border>
        <left style="thin">
          <color theme="5"/>
        </left>
        <right style="thin">
          <color theme="5"/>
        </right>
        <vertical/>
        <horizontal/>
      </border>
    </dxf>
    <dxf>
      <border>
        <left style="thin">
          <color theme="5"/>
        </left>
        <right style="thin">
          <color theme="5"/>
        </right>
        <vertical/>
        <horizontal/>
      </border>
    </dxf>
    <dxf>
      <border>
        <left style="thin">
          <color theme="5"/>
        </left>
        <right style="thin">
          <color theme="5"/>
        </right>
        <vertical/>
        <horizontal/>
      </border>
    </dxf>
    <dxf>
      <border>
        <left style="thin">
          <color theme="5"/>
        </left>
        <right style="thin">
          <color theme="5"/>
        </right>
        <vertical/>
        <horizontal/>
      </border>
    </dxf>
    <dxf>
      <border>
        <left style="thin">
          <color theme="5"/>
        </left>
        <right style="thin">
          <color theme="5"/>
        </right>
        <vertical/>
        <horizontal/>
      </border>
    </dxf>
    <dxf>
      <border>
        <left style="thin">
          <color theme="5"/>
        </left>
        <right style="thin">
          <color theme="5"/>
        </right>
        <vertical/>
        <horizontal/>
      </border>
    </dxf>
    <dxf>
      <border>
        <left style="thin">
          <color theme="5"/>
        </left>
        <right style="thin">
          <color theme="5"/>
        </right>
        <vertical/>
        <horizontal/>
      </border>
    </dxf>
    <dxf>
      <border>
        <left style="thin">
          <color theme="5"/>
        </left>
        <right style="thin">
          <color theme="5"/>
        </right>
        <vertical/>
        <horizontal/>
      </border>
    </dxf>
    <dxf>
      <border>
        <left style="thin">
          <color theme="5"/>
        </left>
        <right style="thin">
          <color theme="5"/>
        </right>
        <vertical/>
        <horizontal/>
      </border>
    </dxf>
    <dxf>
      <border>
        <left style="thin">
          <color theme="5"/>
        </left>
        <right style="thin">
          <color theme="5"/>
        </right>
        <vertical/>
        <horizontal/>
      </border>
    </dxf>
    <dxf>
      <border>
        <left style="thin">
          <color theme="5"/>
        </left>
        <right style="thin">
          <color theme="5"/>
        </right>
        <vertical/>
        <horizontal/>
      </border>
    </dxf>
    <dxf>
      <border>
        <left style="thin">
          <color theme="5"/>
        </left>
        <right style="thin">
          <color theme="5"/>
        </right>
        <vertical/>
        <horizontal/>
      </border>
    </dxf>
    <dxf>
      <border>
        <left style="thin">
          <color theme="5"/>
        </left>
        <right style="thin">
          <color theme="5"/>
        </right>
        <vertical/>
        <horizontal/>
      </border>
    </dxf>
    <dxf>
      <border>
        <left style="thin">
          <color theme="5"/>
        </left>
        <right style="thin">
          <color theme="5"/>
        </right>
        <vertical/>
        <horizontal/>
      </border>
    </dxf>
    <dxf>
      <border>
        <left style="thin">
          <color theme="5"/>
        </left>
        <right style="thin">
          <color theme="5"/>
        </right>
        <vertical/>
        <horizontal/>
      </border>
    </dxf>
    <dxf>
      <border>
        <left style="thin">
          <color theme="5"/>
        </left>
        <right style="thin">
          <color theme="5"/>
        </right>
        <vertical/>
        <horizontal/>
      </border>
    </dxf>
    <dxf>
      <border>
        <left style="thin">
          <color theme="5"/>
        </left>
        <right style="thin">
          <color theme="5"/>
        </right>
        <vertical/>
        <horizontal/>
      </border>
    </dxf>
    <dxf>
      <border>
        <left style="thin">
          <color theme="5"/>
        </left>
        <right style="thin">
          <color theme="5"/>
        </right>
        <vertical/>
        <horizontal/>
      </border>
    </dxf>
    <dxf>
      <border>
        <left style="thin">
          <color theme="5"/>
        </left>
        <right style="thin">
          <color theme="5"/>
        </right>
        <vertical/>
        <horizontal/>
      </border>
    </dxf>
    <dxf>
      <border>
        <left style="thin">
          <color theme="5"/>
        </left>
        <right style="thin">
          <color theme="5"/>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2" defaultTableStyle="TableStyleMedium2" defaultPivotStyle="PivotStyleLight16">
    <tableStyle name="ToDoList" pivot="0" count="9" xr9:uid="{00000000-0011-0000-FFFF-FFFF00000000}">
      <tableStyleElement type="wholeTable" dxfId="51"/>
      <tableStyleElement type="headerRow" dxfId="50"/>
      <tableStyleElement type="totalRow" dxfId="49"/>
      <tableStyleElement type="firstColumn" dxfId="48"/>
      <tableStyleElement type="lastColumn" dxfId="47"/>
      <tableStyleElement type="firstRowStripe" dxfId="46"/>
      <tableStyleElement type="secondRowStripe" dxfId="45"/>
      <tableStyleElement type="firstColumnStripe" dxfId="44"/>
      <tableStyleElement type="secondColumnStripe" dxfId="43"/>
    </tableStyle>
    <tableStyle name="ToDoList 2" pivot="0" count="9" xr9:uid="{7984BDDA-CA53-418D-A15D-AA012991988C}">
      <tableStyleElement type="wholeTable" dxfId="42"/>
      <tableStyleElement type="headerRow" dxfId="41"/>
      <tableStyleElement type="totalRow" dxfId="40"/>
      <tableStyleElement type="firstColumn" dxfId="39"/>
      <tableStyleElement type="lastColumn" dxfId="38"/>
      <tableStyleElement type="firstRowStripe" dxfId="37"/>
      <tableStyleElement type="secondRowStripe" dxfId="36"/>
      <tableStyleElement type="firstColumnStripe" dxfId="35"/>
      <tableStyleElement type="secondColumnStripe" dxfId="34"/>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F6769E6-187E-495C-825D-BC8C1CECB016}" name="Timeline6" displayName="Timeline6" ref="B5:F35" totalsRowCount="1" headerRowDxfId="2">
  <autoFilter ref="B5:F34" xr:uid="{296D0631-0ECC-4B7B-863C-13B979A17B60}"/>
  <tableColumns count="5">
    <tableColumn id="1" xr3:uid="{D5EA62F1-E55D-4D11-A940-95A66E9809F8}" name="Timeline description" totalsRowLabel="Total"/>
    <tableColumn id="3" xr3:uid="{BCCF350A-2E8E-407F-B158-3A50F6E6F81F}" name="Assigned to"/>
    <tableColumn id="4" xr3:uid="{DDAB4C2E-2E30-47E7-9EA7-F0EE8B9C2D1F}" name="Progress"/>
    <tableColumn id="5" xr3:uid="{7D16FA9B-3B4F-43F6-B6EC-8530119F9334}" name="Start"/>
    <tableColumn id="6" xr3:uid="{A77934CC-A031-4C4E-AE31-C7CE0515E78C}" name="Days" totalsRowFunction="sum" dataDxfId="0" totalsRowDxfId="1"/>
  </tableColumns>
  <tableStyleInfo name="ToDoList" showFirstColumn="1" showLastColumn="0" showRowStripes="1" showColumnStripes="1"/>
  <extLst>
    <ext xmlns:x14="http://schemas.microsoft.com/office/spreadsheetml/2009/9/main" uri="{504A1905-F514-4f6f-8877-14C23A59335A}">
      <x14:table altTextSummary="Enter Project milestone information in this table. Enter a description for a phase, task, activity, etc. in column beneath Milestone Description. Assign the item to someone in the Assigned To column. Update progress and watch the data bars auto update in the Progress column. Enter the start date in the Start column and number of days in the number of days column. "/>
    </ext>
  </extLst>
</table>
</file>

<file path=xl/theme/theme1.xml><?xml version="1.0" encoding="utf-8"?>
<a:theme xmlns:a="http://schemas.openxmlformats.org/drawingml/2006/main" name="Office Theme">
  <a:themeElements>
    <a:clrScheme name="TM16400962">
      <a:dk1>
        <a:srgbClr val="000000"/>
      </a:dk1>
      <a:lt1>
        <a:srgbClr val="FFFFFF"/>
      </a:lt1>
      <a:dk2>
        <a:srgbClr val="0E2841"/>
      </a:dk2>
      <a:lt2>
        <a:srgbClr val="E8E8E8"/>
      </a:lt2>
      <a:accent1>
        <a:srgbClr val="6528F7"/>
      </a:accent1>
      <a:accent2>
        <a:srgbClr val="D800A6"/>
      </a:accent2>
      <a:accent3>
        <a:srgbClr val="7ECA9C"/>
      </a:accent3>
      <a:accent4>
        <a:srgbClr val="00ABB3"/>
      </a:accent4>
      <a:accent5>
        <a:srgbClr val="FFE227"/>
      </a:accent5>
      <a:accent6>
        <a:srgbClr val="1363DF"/>
      </a:accent6>
      <a:hlink>
        <a:srgbClr val="467886"/>
      </a:hlink>
      <a:folHlink>
        <a:srgbClr val="96607D"/>
      </a:folHlink>
    </a:clrScheme>
    <a:fontScheme name="Custom 32">
      <a:majorFont>
        <a:latin typeface="Arial Black"/>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E458D-009F-4EDF-8010-C2BA73142887}">
  <dimension ref="A1:AS37"/>
  <sheetViews>
    <sheetView showGridLines="0" tabSelected="1" showRuler="0" view="pageBreakPreview" topLeftCell="A20" zoomScale="55" zoomScaleNormal="63" zoomScaleSheetLayoutView="55" zoomScalePageLayoutView="70" workbookViewId="0">
      <selection activeCell="C38" sqref="C38"/>
    </sheetView>
  </sheetViews>
  <sheetFormatPr defaultColWidth="8.625" defaultRowHeight="30" customHeight="1"/>
  <cols>
    <col min="1" max="1" width="2.625" style="4" customWidth="1"/>
    <col min="2" max="2" width="50.5" customWidth="1"/>
    <col min="3" max="3" width="34.625" bestFit="1" customWidth="1"/>
    <col min="4" max="4" width="10.625" customWidth="1"/>
    <col min="5" max="5" width="10.625" style="2" customWidth="1"/>
    <col min="6" max="6" width="24.625" style="59" customWidth="1"/>
    <col min="7" max="7" width="2.625" customWidth="1"/>
    <col min="8" max="8" width="5.875" hidden="1" customWidth="1"/>
    <col min="9" max="43" width="3.25" customWidth="1"/>
  </cols>
  <sheetData>
    <row r="1" spans="1:43" ht="152.25" customHeight="1">
      <c r="A1" s="5"/>
      <c r="B1" s="61" t="s">
        <v>0</v>
      </c>
      <c r="C1" s="61"/>
      <c r="D1" s="61"/>
      <c r="E1" s="61"/>
      <c r="F1" s="61"/>
      <c r="H1" s="1"/>
      <c r="I1" s="62" t="s">
        <v>1</v>
      </c>
      <c r="J1" s="67"/>
      <c r="K1" s="67"/>
      <c r="L1" s="67"/>
      <c r="M1" s="67"/>
      <c r="N1" s="67"/>
      <c r="O1" s="67"/>
      <c r="P1" s="7"/>
      <c r="Q1" s="63">
        <v>46054</v>
      </c>
      <c r="R1" s="68"/>
      <c r="S1" s="68"/>
      <c r="T1" s="68"/>
      <c r="U1" s="68"/>
      <c r="V1" s="68"/>
      <c r="W1" s="68"/>
      <c r="X1" s="68"/>
      <c r="Y1" s="68"/>
      <c r="Z1" s="68"/>
    </row>
    <row r="2" spans="1:43" ht="30" customHeight="1">
      <c r="B2" s="61"/>
      <c r="C2" s="61"/>
      <c r="D2" s="61"/>
      <c r="E2" s="61"/>
      <c r="F2" s="61"/>
      <c r="I2" s="62" t="s">
        <v>2</v>
      </c>
      <c r="J2" s="67"/>
      <c r="K2" s="67"/>
      <c r="L2" s="67"/>
      <c r="M2" s="67"/>
      <c r="N2" s="67"/>
      <c r="O2" s="67"/>
      <c r="P2" s="7"/>
      <c r="Q2" s="64">
        <v>1</v>
      </c>
      <c r="R2" s="68"/>
      <c r="S2" s="68"/>
      <c r="T2" s="68"/>
      <c r="U2" s="68"/>
      <c r="V2" s="68"/>
      <c r="W2" s="68"/>
      <c r="X2" s="68"/>
      <c r="Y2" s="68"/>
      <c r="Z2" s="68"/>
    </row>
    <row r="3" spans="1:43" s="9" customFormat="1" ht="20.25">
      <c r="A3" s="4"/>
      <c r="B3" s="8"/>
      <c r="C3" s="15" t="s">
        <v>3</v>
      </c>
      <c r="D3" s="10"/>
      <c r="E3" s="11"/>
      <c r="F3" s="54"/>
    </row>
    <row r="4" spans="1:43" s="9" customFormat="1" ht="14.25" customHeight="1">
      <c r="A4" s="5"/>
      <c r="B4" s="12"/>
      <c r="E4" s="13"/>
      <c r="F4" s="54"/>
      <c r="I4" s="66" t="s">
        <v>4</v>
      </c>
      <c r="J4" s="66"/>
      <c r="K4" s="66"/>
      <c r="L4" s="66"/>
      <c r="M4" s="66"/>
      <c r="N4" s="66"/>
      <c r="O4" s="66"/>
      <c r="P4" s="66" t="s">
        <v>5</v>
      </c>
      <c r="Q4" s="66"/>
      <c r="R4" s="66"/>
      <c r="S4" s="66"/>
      <c r="T4" s="66"/>
      <c r="U4" s="66"/>
      <c r="V4" s="66"/>
      <c r="W4" s="66" t="s">
        <v>6</v>
      </c>
      <c r="X4" s="66"/>
      <c r="Y4" s="66"/>
      <c r="Z4" s="66"/>
      <c r="AA4" s="66"/>
      <c r="AB4" s="66"/>
      <c r="AC4" s="66"/>
      <c r="AD4" s="66" t="s">
        <v>7</v>
      </c>
      <c r="AE4" s="66"/>
      <c r="AF4" s="66"/>
      <c r="AG4" s="66"/>
      <c r="AH4" s="66"/>
      <c r="AI4" s="66"/>
      <c r="AJ4" s="66"/>
      <c r="AK4" s="66" t="s">
        <v>8</v>
      </c>
      <c r="AL4" s="66"/>
      <c r="AM4" s="66"/>
      <c r="AN4" s="66"/>
      <c r="AO4" s="66"/>
      <c r="AP4" s="66"/>
      <c r="AQ4" s="66"/>
    </row>
    <row r="5" spans="1:43" s="9" customFormat="1" ht="15">
      <c r="A5" s="65"/>
      <c r="B5" s="27" t="s">
        <v>9</v>
      </c>
      <c r="C5" s="28" t="s">
        <v>10</v>
      </c>
      <c r="D5" s="28" t="s">
        <v>11</v>
      </c>
      <c r="E5" s="28" t="s">
        <v>12</v>
      </c>
      <c r="F5" s="55" t="s">
        <v>13</v>
      </c>
      <c r="I5" s="31">
        <f>Project_Start-WEEKDAY(Project_Start,1)+2+7*(Display_Week-1)</f>
        <v>46055</v>
      </c>
      <c r="J5" s="31">
        <f>I5+1</f>
        <v>46056</v>
      </c>
      <c r="K5" s="31">
        <f t="shared" ref="K5:AJ5" si="0">J5+1</f>
        <v>46057</v>
      </c>
      <c r="L5" s="31">
        <f t="shared" si="0"/>
        <v>46058</v>
      </c>
      <c r="M5" s="31">
        <f t="shared" si="0"/>
        <v>46059</v>
      </c>
      <c r="N5" s="31">
        <f t="shared" si="0"/>
        <v>46060</v>
      </c>
      <c r="O5" s="31">
        <f t="shared" si="0"/>
        <v>46061</v>
      </c>
      <c r="P5" s="31">
        <f>O5+1</f>
        <v>46062</v>
      </c>
      <c r="Q5" s="31">
        <f>P5+1</f>
        <v>46063</v>
      </c>
      <c r="R5" s="31">
        <f t="shared" si="0"/>
        <v>46064</v>
      </c>
      <c r="S5" s="31">
        <f t="shared" si="0"/>
        <v>46065</v>
      </c>
      <c r="T5" s="31">
        <f t="shared" si="0"/>
        <v>46066</v>
      </c>
      <c r="U5" s="31">
        <f t="shared" si="0"/>
        <v>46067</v>
      </c>
      <c r="V5" s="31">
        <f t="shared" si="0"/>
        <v>46068</v>
      </c>
      <c r="W5" s="31">
        <f t="shared" si="0"/>
        <v>46069</v>
      </c>
      <c r="X5" s="31">
        <f t="shared" si="0"/>
        <v>46070</v>
      </c>
      <c r="Y5" s="31">
        <f t="shared" si="0"/>
        <v>46071</v>
      </c>
      <c r="Z5" s="31">
        <f t="shared" si="0"/>
        <v>46072</v>
      </c>
      <c r="AA5" s="31">
        <f t="shared" si="0"/>
        <v>46073</v>
      </c>
      <c r="AB5" s="31">
        <f t="shared" si="0"/>
        <v>46074</v>
      </c>
      <c r="AC5" s="31">
        <f t="shared" si="0"/>
        <v>46075</v>
      </c>
      <c r="AD5" s="31">
        <f t="shared" si="0"/>
        <v>46076</v>
      </c>
      <c r="AE5" s="31">
        <f t="shared" si="0"/>
        <v>46077</v>
      </c>
      <c r="AF5" s="31">
        <f t="shared" si="0"/>
        <v>46078</v>
      </c>
      <c r="AG5" s="31">
        <f t="shared" si="0"/>
        <v>46079</v>
      </c>
      <c r="AH5" s="31">
        <f t="shared" si="0"/>
        <v>46080</v>
      </c>
      <c r="AI5" s="31">
        <f t="shared" si="0"/>
        <v>46081</v>
      </c>
      <c r="AJ5" s="31">
        <f t="shared" si="0"/>
        <v>46082</v>
      </c>
      <c r="AK5" s="31">
        <f>Project_Start-WEEKDAY(Project_Start,1)+2+7*(Display_Week-1)</f>
        <v>46055</v>
      </c>
      <c r="AL5" s="31">
        <f>AK5+1</f>
        <v>46056</v>
      </c>
      <c r="AM5" s="31">
        <f t="shared" ref="AM5" si="1">AL5+1</f>
        <v>46057</v>
      </c>
      <c r="AN5" s="31">
        <f t="shared" ref="AN5" si="2">AM5+1</f>
        <v>46058</v>
      </c>
      <c r="AO5" s="31">
        <f t="shared" ref="AO5" si="3">AN5+1</f>
        <v>46059</v>
      </c>
      <c r="AP5" s="31">
        <f t="shared" ref="AP5" si="4">AO5+1</f>
        <v>46060</v>
      </c>
      <c r="AQ5" s="31">
        <f t="shared" ref="AQ5" si="5">AP5+1</f>
        <v>46061</v>
      </c>
    </row>
    <row r="6" spans="1:43" s="9" customFormat="1" ht="15" customHeight="1">
      <c r="A6" s="65"/>
      <c r="B6" s="16"/>
      <c r="C6" s="17"/>
      <c r="D6" s="18"/>
      <c r="E6" s="19"/>
      <c r="F6" s="35"/>
      <c r="I6" s="32" t="str">
        <f t="shared" ref="I6:AJ6" si="6">LEFT(TEXT(I5,"ddd"),1)</f>
        <v>M</v>
      </c>
      <c r="J6" s="32" t="str">
        <f t="shared" si="6"/>
        <v>T</v>
      </c>
      <c r="K6" s="32" t="str">
        <f t="shared" si="6"/>
        <v>W</v>
      </c>
      <c r="L6" s="32" t="str">
        <f t="shared" si="6"/>
        <v>T</v>
      </c>
      <c r="M6" s="32" t="str">
        <f t="shared" si="6"/>
        <v>F</v>
      </c>
      <c r="N6" s="32" t="str">
        <f t="shared" si="6"/>
        <v>S</v>
      </c>
      <c r="O6" s="32" t="str">
        <f t="shared" si="6"/>
        <v>S</v>
      </c>
      <c r="P6" s="32" t="str">
        <f t="shared" si="6"/>
        <v>M</v>
      </c>
      <c r="Q6" s="32" t="str">
        <f t="shared" si="6"/>
        <v>T</v>
      </c>
      <c r="R6" s="32" t="str">
        <f t="shared" si="6"/>
        <v>W</v>
      </c>
      <c r="S6" s="32" t="str">
        <f t="shared" si="6"/>
        <v>T</v>
      </c>
      <c r="T6" s="32" t="str">
        <f t="shared" si="6"/>
        <v>F</v>
      </c>
      <c r="U6" s="32" t="str">
        <f t="shared" si="6"/>
        <v>S</v>
      </c>
      <c r="V6" s="32" t="str">
        <f t="shared" si="6"/>
        <v>S</v>
      </c>
      <c r="W6" s="32" t="str">
        <f t="shared" si="6"/>
        <v>M</v>
      </c>
      <c r="X6" s="32" t="str">
        <f t="shared" si="6"/>
        <v>T</v>
      </c>
      <c r="Y6" s="32" t="str">
        <f t="shared" si="6"/>
        <v>W</v>
      </c>
      <c r="Z6" s="32" t="str">
        <f t="shared" si="6"/>
        <v>T</v>
      </c>
      <c r="AA6" s="32" t="str">
        <f t="shared" si="6"/>
        <v>F</v>
      </c>
      <c r="AB6" s="32" t="str">
        <f t="shared" si="6"/>
        <v>S</v>
      </c>
      <c r="AC6" s="32" t="str">
        <f t="shared" si="6"/>
        <v>S</v>
      </c>
      <c r="AD6" s="32" t="str">
        <f t="shared" si="6"/>
        <v>M</v>
      </c>
      <c r="AE6" s="32" t="str">
        <f t="shared" si="6"/>
        <v>T</v>
      </c>
      <c r="AF6" s="32" t="str">
        <f t="shared" si="6"/>
        <v>W</v>
      </c>
      <c r="AG6" s="32" t="str">
        <f t="shared" si="6"/>
        <v>T</v>
      </c>
      <c r="AH6" s="32" t="str">
        <f t="shared" si="6"/>
        <v>F</v>
      </c>
      <c r="AI6" s="32" t="str">
        <f t="shared" si="6"/>
        <v>S</v>
      </c>
      <c r="AJ6" s="32" t="str">
        <f t="shared" si="6"/>
        <v>S</v>
      </c>
      <c r="AK6" s="32" t="str">
        <f t="shared" ref="AK6:AQ6" si="7">LEFT(TEXT(AK5,"ddd"),1)</f>
        <v>M</v>
      </c>
      <c r="AL6" s="32" t="str">
        <f t="shared" si="7"/>
        <v>T</v>
      </c>
      <c r="AM6" s="32" t="str">
        <f t="shared" si="7"/>
        <v>W</v>
      </c>
      <c r="AN6" s="32" t="str">
        <f t="shared" si="7"/>
        <v>T</v>
      </c>
      <c r="AO6" s="32" t="str">
        <f t="shared" si="7"/>
        <v>F</v>
      </c>
      <c r="AP6" s="32" t="str">
        <f t="shared" si="7"/>
        <v>S</v>
      </c>
      <c r="AQ6" s="32" t="str">
        <f t="shared" si="7"/>
        <v>S</v>
      </c>
    </row>
    <row r="7" spans="1:43" s="9" customFormat="1" ht="30" hidden="1" customHeight="1">
      <c r="A7" s="4" t="s">
        <v>14</v>
      </c>
      <c r="B7" s="20" t="s">
        <v>15</v>
      </c>
      <c r="C7" s="21"/>
      <c r="D7" s="22"/>
      <c r="E7" s="19"/>
      <c r="F7" s="35"/>
      <c r="H7" s="9" t="str">
        <f ca="1">IF(OR(ISBLANK(task_start),ISBLANK(task_end)),"",task_end-task_start+1)</f>
        <v/>
      </c>
      <c r="I7" s="30"/>
      <c r="J7" s="30"/>
      <c r="K7" s="30"/>
      <c r="L7" s="30"/>
      <c r="M7" s="30"/>
      <c r="N7" s="30"/>
      <c r="O7" s="30"/>
      <c r="P7" s="30"/>
      <c r="Q7" s="30"/>
      <c r="R7" s="30"/>
      <c r="S7" s="30"/>
      <c r="T7" s="30"/>
      <c r="U7" s="30"/>
      <c r="V7" s="30"/>
      <c r="W7" s="30"/>
      <c r="X7" s="30"/>
      <c r="Y7" s="30"/>
      <c r="Z7" s="30"/>
      <c r="AA7" s="30"/>
      <c r="AB7" s="30"/>
      <c r="AC7" s="30"/>
      <c r="AD7" s="30"/>
      <c r="AE7" s="30"/>
      <c r="AF7" s="30"/>
      <c r="AG7" s="30"/>
      <c r="AH7" s="30"/>
      <c r="AI7" s="30"/>
      <c r="AJ7" s="30"/>
      <c r="AK7" s="30"/>
      <c r="AL7" s="30"/>
      <c r="AM7" s="30"/>
      <c r="AN7" s="30"/>
      <c r="AO7" s="30"/>
      <c r="AP7" s="30"/>
      <c r="AQ7" s="30"/>
    </row>
    <row r="8" spans="1:43" s="9" customFormat="1" ht="30" customHeight="1">
      <c r="A8" s="4"/>
      <c r="B8" s="20" t="s">
        <v>15</v>
      </c>
      <c r="C8" s="21"/>
      <c r="D8" s="22"/>
      <c r="E8" s="19"/>
      <c r="F8" s="35"/>
      <c r="I8" s="43"/>
      <c r="J8" s="44"/>
      <c r="K8" s="44"/>
      <c r="L8" s="43"/>
      <c r="M8" s="43"/>
      <c r="N8" s="45"/>
      <c r="O8" s="45"/>
      <c r="P8" s="43"/>
      <c r="Q8" s="44"/>
      <c r="R8" s="44"/>
      <c r="S8" s="43"/>
      <c r="T8" s="43"/>
      <c r="U8" s="45"/>
      <c r="V8" s="45"/>
      <c r="W8" s="43"/>
      <c r="X8" s="43"/>
      <c r="Y8" s="43"/>
      <c r="Z8" s="43"/>
      <c r="AA8" s="43"/>
      <c r="AB8" s="45"/>
      <c r="AC8" s="45"/>
      <c r="AD8" s="43"/>
      <c r="AE8" s="43"/>
      <c r="AF8" s="43"/>
      <c r="AG8" s="43"/>
      <c r="AH8" s="43"/>
      <c r="AI8" s="45"/>
      <c r="AJ8" s="45"/>
      <c r="AK8" s="33"/>
      <c r="AL8" s="33"/>
      <c r="AM8" s="33"/>
      <c r="AN8" s="33"/>
      <c r="AO8" s="33"/>
      <c r="AP8" s="46"/>
      <c r="AQ8" s="46"/>
    </row>
    <row r="9" spans="1:43" s="14" customFormat="1" ht="30" customHeight="1">
      <c r="A9" s="5"/>
      <c r="B9" s="23" t="s">
        <v>16</v>
      </c>
      <c r="C9" s="21" t="s">
        <v>17</v>
      </c>
      <c r="D9" s="24">
        <v>0</v>
      </c>
      <c r="E9" s="25"/>
      <c r="F9" s="35">
        <v>2.5</v>
      </c>
      <c r="G9" s="6"/>
      <c r="H9" s="3" t="str">
        <f t="shared" ref="H9:H15" ca="1" si="8">IF(OR(ISBLANK(task_start),ISBLANK(task_end)),"",task_end-task_start+1)</f>
        <v/>
      </c>
      <c r="I9" s="47"/>
      <c r="J9" s="47"/>
      <c r="K9" s="47"/>
      <c r="L9" s="43"/>
      <c r="M9" s="43"/>
      <c r="N9" s="45"/>
      <c r="O9" s="45"/>
      <c r="P9" s="43"/>
      <c r="Q9" s="44"/>
      <c r="R9" s="44"/>
      <c r="S9" s="43"/>
      <c r="T9" s="43"/>
      <c r="U9" s="45"/>
      <c r="V9" s="45"/>
      <c r="W9" s="44"/>
      <c r="X9" s="44"/>
      <c r="Y9" s="44"/>
      <c r="Z9" s="44"/>
      <c r="AA9" s="44"/>
      <c r="AB9" s="45"/>
      <c r="AC9" s="45"/>
      <c r="AD9" s="44"/>
      <c r="AE9" s="44"/>
      <c r="AF9" s="44"/>
      <c r="AG9" s="43"/>
      <c r="AH9" s="43"/>
      <c r="AI9" s="45"/>
      <c r="AJ9" s="45"/>
      <c r="AK9" s="34"/>
      <c r="AL9" s="34"/>
      <c r="AM9" s="34"/>
      <c r="AN9" s="33"/>
      <c r="AO9" s="33"/>
      <c r="AP9" s="46"/>
      <c r="AQ9" s="46"/>
    </row>
    <row r="10" spans="1:43" s="14" customFormat="1" ht="30" customHeight="1">
      <c r="A10" s="5"/>
      <c r="B10" s="23" t="s">
        <v>18</v>
      </c>
      <c r="C10" s="21" t="s">
        <v>17</v>
      </c>
      <c r="D10" s="24">
        <v>0</v>
      </c>
      <c r="E10" s="25"/>
      <c r="F10" s="35">
        <v>2.5</v>
      </c>
      <c r="G10" s="6"/>
      <c r="H10" s="3" t="str">
        <f t="shared" ca="1" si="8"/>
        <v/>
      </c>
      <c r="I10" s="43"/>
      <c r="J10" s="44"/>
      <c r="K10" s="47"/>
      <c r="L10" s="47"/>
      <c r="M10" s="47"/>
      <c r="N10" s="45"/>
      <c r="O10" s="45"/>
      <c r="P10" s="43"/>
      <c r="Q10" s="44"/>
      <c r="R10" s="44"/>
      <c r="S10" s="43"/>
      <c r="T10" s="43"/>
      <c r="U10" s="45"/>
      <c r="V10" s="45"/>
      <c r="W10" s="44"/>
      <c r="X10" s="44"/>
      <c r="Y10" s="44"/>
      <c r="Z10" s="44"/>
      <c r="AA10" s="44"/>
      <c r="AB10" s="45"/>
      <c r="AC10" s="45"/>
      <c r="AD10" s="44"/>
      <c r="AE10" s="44"/>
      <c r="AF10" s="44"/>
      <c r="AG10" s="43"/>
      <c r="AH10" s="43"/>
      <c r="AI10" s="45"/>
      <c r="AJ10" s="45"/>
      <c r="AK10" s="34"/>
      <c r="AL10" s="34"/>
      <c r="AM10" s="34"/>
      <c r="AN10" s="33"/>
      <c r="AO10" s="33"/>
      <c r="AP10" s="46"/>
      <c r="AQ10" s="46"/>
    </row>
    <row r="11" spans="1:43" s="14" customFormat="1" ht="30" customHeight="1">
      <c r="A11" s="5"/>
      <c r="B11" s="20" t="s">
        <v>19</v>
      </c>
      <c r="C11" s="21"/>
      <c r="D11" s="24"/>
      <c r="E11" s="25"/>
      <c r="F11" s="35"/>
      <c r="G11" s="6"/>
      <c r="H11" s="3"/>
      <c r="I11" s="43"/>
      <c r="J11" s="44"/>
      <c r="K11" s="44"/>
      <c r="L11" s="43"/>
      <c r="M11" s="43"/>
      <c r="N11" s="45"/>
      <c r="O11" s="45"/>
      <c r="P11" s="43"/>
      <c r="Q11" s="44"/>
      <c r="R11" s="44"/>
      <c r="S11" s="43"/>
      <c r="T11" s="43"/>
      <c r="U11" s="45"/>
      <c r="V11" s="45"/>
      <c r="W11" s="44"/>
      <c r="X11" s="44"/>
      <c r="Y11" s="44"/>
      <c r="Z11" s="44"/>
      <c r="AA11" s="44"/>
      <c r="AB11" s="45"/>
      <c r="AC11" s="45"/>
      <c r="AD11" s="44"/>
      <c r="AE11" s="44"/>
      <c r="AF11" s="44"/>
      <c r="AG11" s="43"/>
      <c r="AH11" s="43"/>
      <c r="AI11" s="45"/>
      <c r="AJ11" s="45"/>
      <c r="AK11" s="34"/>
      <c r="AL11" s="34"/>
      <c r="AM11" s="34"/>
      <c r="AN11" s="33"/>
      <c r="AO11" s="33"/>
      <c r="AP11" s="46"/>
      <c r="AQ11" s="46"/>
    </row>
    <row r="12" spans="1:43" s="14" customFormat="1" ht="30" customHeight="1">
      <c r="A12" s="5"/>
      <c r="B12" s="36" t="s">
        <v>20</v>
      </c>
      <c r="C12" s="37" t="s">
        <v>17</v>
      </c>
      <c r="D12" s="38">
        <v>0</v>
      </c>
      <c r="E12" s="39"/>
      <c r="F12" s="56">
        <v>1.5</v>
      </c>
      <c r="G12" s="6"/>
      <c r="H12" s="3"/>
      <c r="I12" s="43"/>
      <c r="J12" s="43"/>
      <c r="K12" s="44"/>
      <c r="L12" s="44"/>
      <c r="M12" s="44"/>
      <c r="N12" s="45"/>
      <c r="O12" s="45"/>
      <c r="P12" s="47"/>
      <c r="Q12" s="47"/>
      <c r="R12" s="44"/>
      <c r="S12" s="44"/>
      <c r="T12" s="44"/>
      <c r="U12" s="45"/>
      <c r="V12" s="45"/>
      <c r="W12" s="44"/>
      <c r="X12" s="44"/>
      <c r="Y12" s="44"/>
      <c r="Z12" s="44"/>
      <c r="AA12" s="44"/>
      <c r="AB12" s="45"/>
      <c r="AC12" s="45"/>
      <c r="AD12" s="44"/>
      <c r="AE12" s="44"/>
      <c r="AF12" s="44"/>
      <c r="AG12" s="43"/>
      <c r="AH12" s="43"/>
      <c r="AI12" s="45"/>
      <c r="AJ12" s="45"/>
      <c r="AK12" s="34"/>
      <c r="AL12" s="34"/>
      <c r="AM12" s="34"/>
      <c r="AN12" s="33"/>
      <c r="AO12" s="33"/>
      <c r="AP12" s="46"/>
      <c r="AQ12" s="46"/>
    </row>
    <row r="13" spans="1:43" s="14" customFormat="1" ht="30" customHeight="1">
      <c r="A13" s="5"/>
      <c r="B13" s="48" t="s">
        <v>21</v>
      </c>
      <c r="C13" s="40" t="s">
        <v>17</v>
      </c>
      <c r="D13" s="41">
        <v>0</v>
      </c>
      <c r="E13" s="42"/>
      <c r="F13" s="57">
        <v>1</v>
      </c>
      <c r="G13" s="6"/>
      <c r="H13" s="3"/>
      <c r="I13" s="43"/>
      <c r="J13" s="43"/>
      <c r="K13" s="44"/>
      <c r="L13" s="44"/>
      <c r="M13" s="44"/>
      <c r="N13" s="45"/>
      <c r="O13" s="45"/>
      <c r="P13" s="43"/>
      <c r="Q13" s="47"/>
      <c r="R13" s="47"/>
      <c r="S13" s="44"/>
      <c r="T13" s="44"/>
      <c r="U13" s="45"/>
      <c r="V13" s="45"/>
      <c r="W13" s="44"/>
      <c r="X13" s="44"/>
      <c r="Y13" s="44"/>
      <c r="Z13" s="44"/>
      <c r="AA13" s="44"/>
      <c r="AB13" s="45"/>
      <c r="AC13" s="45"/>
      <c r="AD13" s="44"/>
      <c r="AE13" s="44"/>
      <c r="AF13" s="44"/>
      <c r="AG13" s="43"/>
      <c r="AH13" s="43"/>
      <c r="AI13" s="45"/>
      <c r="AJ13" s="45"/>
      <c r="AK13" s="34"/>
      <c r="AL13" s="34"/>
      <c r="AM13" s="34"/>
      <c r="AN13" s="33"/>
      <c r="AO13" s="33"/>
      <c r="AP13" s="46"/>
      <c r="AQ13" s="46"/>
    </row>
    <row r="14" spans="1:43" s="14" customFormat="1" ht="30" customHeight="1">
      <c r="A14" s="5"/>
      <c r="B14" s="36" t="s">
        <v>22</v>
      </c>
      <c r="C14" s="37" t="s">
        <v>17</v>
      </c>
      <c r="D14" s="38">
        <v>0</v>
      </c>
      <c r="E14" s="39"/>
      <c r="F14" s="56">
        <v>0.5</v>
      </c>
      <c r="G14" s="6"/>
      <c r="H14" s="3"/>
      <c r="I14" s="43"/>
      <c r="J14" s="43"/>
      <c r="K14" s="44"/>
      <c r="L14" s="44"/>
      <c r="M14" s="44"/>
      <c r="N14" s="45"/>
      <c r="O14" s="45"/>
      <c r="P14" s="43"/>
      <c r="Q14" s="43"/>
      <c r="R14" s="47"/>
      <c r="S14" s="47"/>
      <c r="T14" s="44"/>
      <c r="U14" s="45"/>
      <c r="V14" s="45"/>
      <c r="W14" s="44"/>
      <c r="X14" s="44"/>
      <c r="Y14" s="44"/>
      <c r="Z14" s="44"/>
      <c r="AA14" s="44"/>
      <c r="AB14" s="45"/>
      <c r="AC14" s="45"/>
      <c r="AD14" s="44"/>
      <c r="AE14" s="44"/>
      <c r="AF14" s="44"/>
      <c r="AG14" s="43"/>
      <c r="AH14" s="43"/>
      <c r="AI14" s="45"/>
      <c r="AJ14" s="45"/>
      <c r="AK14" s="34"/>
      <c r="AL14" s="34"/>
      <c r="AM14" s="34"/>
      <c r="AN14" s="33"/>
      <c r="AO14" s="33"/>
      <c r="AP14" s="46"/>
      <c r="AQ14" s="46"/>
    </row>
    <row r="15" spans="1:43" s="14" customFormat="1" ht="30" customHeight="1">
      <c r="A15" s="4"/>
      <c r="B15" s="48" t="s">
        <v>23</v>
      </c>
      <c r="C15" s="40" t="s">
        <v>24</v>
      </c>
      <c r="D15" s="41">
        <v>0</v>
      </c>
      <c r="E15" s="42"/>
      <c r="F15" s="57">
        <v>0.2</v>
      </c>
      <c r="G15" s="6"/>
      <c r="H15" s="3" t="str">
        <f t="shared" ca="1" si="8"/>
        <v/>
      </c>
      <c r="I15" s="43"/>
      <c r="J15" s="43"/>
      <c r="K15" s="44"/>
      <c r="L15" s="44"/>
      <c r="M15" s="44"/>
      <c r="N15" s="45"/>
      <c r="O15" s="45"/>
      <c r="P15" s="43"/>
      <c r="Q15" s="43"/>
      <c r="R15" s="44"/>
      <c r="S15" s="47"/>
      <c r="T15" s="43"/>
      <c r="U15" s="45"/>
      <c r="V15" s="45"/>
      <c r="W15" s="44"/>
      <c r="X15" s="44"/>
      <c r="Y15" s="44"/>
      <c r="Z15" s="44"/>
      <c r="AA15" s="44"/>
      <c r="AB15" s="45"/>
      <c r="AC15" s="45"/>
      <c r="AD15" s="44"/>
      <c r="AE15" s="44"/>
      <c r="AF15" s="44"/>
      <c r="AG15" s="43"/>
      <c r="AH15" s="43"/>
      <c r="AI15" s="45"/>
      <c r="AJ15" s="45"/>
      <c r="AK15" s="34"/>
      <c r="AL15" s="34"/>
      <c r="AM15" s="34"/>
      <c r="AN15" s="33"/>
      <c r="AO15" s="33"/>
      <c r="AP15" s="46"/>
      <c r="AQ15" s="46"/>
    </row>
    <row r="16" spans="1:43" s="14" customFormat="1" ht="30" customHeight="1">
      <c r="A16" s="4"/>
      <c r="B16" s="36" t="s">
        <v>25</v>
      </c>
      <c r="C16" s="37" t="s">
        <v>24</v>
      </c>
      <c r="D16" s="38">
        <v>0</v>
      </c>
      <c r="E16" s="39"/>
      <c r="F16" s="56">
        <v>0.2</v>
      </c>
      <c r="G16" s="6"/>
      <c r="H16" s="3"/>
      <c r="I16" s="43"/>
      <c r="J16" s="43"/>
      <c r="K16" s="44"/>
      <c r="L16" s="44"/>
      <c r="M16" s="44"/>
      <c r="N16" s="45"/>
      <c r="O16" s="45"/>
      <c r="P16" s="43"/>
      <c r="Q16" s="43"/>
      <c r="R16" s="44"/>
      <c r="S16" s="47"/>
      <c r="T16" s="44"/>
      <c r="U16" s="45"/>
      <c r="V16" s="45"/>
      <c r="W16" s="44"/>
      <c r="X16" s="44"/>
      <c r="Y16" s="44"/>
      <c r="Z16" s="44"/>
      <c r="AA16" s="44"/>
      <c r="AB16" s="45"/>
      <c r="AC16" s="45"/>
      <c r="AD16" s="44"/>
      <c r="AE16" s="44"/>
      <c r="AF16" s="44"/>
      <c r="AG16" s="43"/>
      <c r="AH16" s="43"/>
      <c r="AI16" s="45"/>
      <c r="AJ16" s="45"/>
      <c r="AK16" s="34"/>
      <c r="AL16" s="34"/>
      <c r="AM16" s="34"/>
      <c r="AN16" s="33"/>
      <c r="AO16" s="33"/>
      <c r="AP16" s="46"/>
      <c r="AQ16" s="46"/>
    </row>
    <row r="17" spans="1:43" s="14" customFormat="1" ht="30" customHeight="1">
      <c r="A17" s="4"/>
      <c r="B17" s="20" t="s">
        <v>26</v>
      </c>
      <c r="C17" s="20"/>
      <c r="D17" s="20"/>
      <c r="E17" s="20"/>
      <c r="F17" s="58"/>
      <c r="G17" s="6"/>
      <c r="H17" s="6"/>
      <c r="I17" s="43"/>
      <c r="J17" s="43"/>
      <c r="K17" s="44"/>
      <c r="L17" s="44"/>
      <c r="M17" s="44"/>
      <c r="N17" s="45"/>
      <c r="O17" s="45"/>
      <c r="P17" s="43"/>
      <c r="Q17" s="43"/>
      <c r="R17" s="44"/>
      <c r="S17" s="44"/>
      <c r="T17" s="44"/>
      <c r="U17" s="45"/>
      <c r="V17" s="45"/>
      <c r="W17" s="44"/>
      <c r="X17" s="44"/>
      <c r="Y17" s="44"/>
      <c r="Z17" s="44"/>
      <c r="AA17" s="44"/>
      <c r="AB17" s="45"/>
      <c r="AC17" s="45"/>
      <c r="AD17" s="44"/>
      <c r="AE17" s="44"/>
      <c r="AF17" s="43"/>
      <c r="AG17" s="43"/>
      <c r="AH17" s="43"/>
      <c r="AI17" s="45"/>
      <c r="AJ17" s="45"/>
      <c r="AK17" s="34"/>
      <c r="AL17" s="34"/>
      <c r="AM17" s="33"/>
      <c r="AN17" s="33"/>
      <c r="AO17" s="33"/>
      <c r="AP17" s="46"/>
      <c r="AQ17" s="46"/>
    </row>
    <row r="18" spans="1:43" s="14" customFormat="1" ht="30" customHeight="1">
      <c r="A18" s="4"/>
      <c r="B18" s="23" t="s">
        <v>27</v>
      </c>
      <c r="C18" s="21" t="s">
        <v>28</v>
      </c>
      <c r="D18" s="24">
        <v>0</v>
      </c>
      <c r="E18" s="25"/>
      <c r="F18" s="35">
        <v>0.25</v>
      </c>
      <c r="G18" s="6"/>
      <c r="H18" s="6"/>
      <c r="I18" s="43"/>
      <c r="J18" s="43"/>
      <c r="K18" s="44"/>
      <c r="L18" s="44"/>
      <c r="M18" s="44"/>
      <c r="N18" s="45"/>
      <c r="O18" s="45"/>
      <c r="P18" s="43"/>
      <c r="Q18" s="43"/>
      <c r="R18" s="44"/>
      <c r="S18" s="44"/>
      <c r="T18" s="47"/>
      <c r="U18" s="45"/>
      <c r="V18" s="45"/>
      <c r="W18" s="44"/>
      <c r="X18" s="44"/>
      <c r="Y18" s="44"/>
      <c r="Z18" s="44"/>
      <c r="AA18" s="44"/>
      <c r="AB18" s="45"/>
      <c r="AC18" s="45"/>
      <c r="AD18" s="44"/>
      <c r="AE18" s="44"/>
      <c r="AF18" s="43"/>
      <c r="AG18" s="43"/>
      <c r="AH18" s="43"/>
      <c r="AI18" s="45"/>
      <c r="AJ18" s="45"/>
      <c r="AK18" s="34"/>
      <c r="AL18" s="34"/>
      <c r="AM18" s="33"/>
      <c r="AN18" s="33"/>
      <c r="AO18" s="33"/>
      <c r="AP18" s="46"/>
      <c r="AQ18" s="46"/>
    </row>
    <row r="19" spans="1:43" s="14" customFormat="1" ht="30" customHeight="1">
      <c r="A19" s="4"/>
      <c r="B19" s="23" t="s">
        <v>29</v>
      </c>
      <c r="C19" s="21" t="s">
        <v>28</v>
      </c>
      <c r="D19" s="24">
        <v>0</v>
      </c>
      <c r="E19" s="25"/>
      <c r="F19" s="35">
        <v>0.25</v>
      </c>
      <c r="G19" s="6"/>
      <c r="H19" s="6"/>
      <c r="I19" s="43"/>
      <c r="J19" s="43"/>
      <c r="K19" s="44"/>
      <c r="L19" s="44"/>
      <c r="M19" s="44"/>
      <c r="N19" s="45"/>
      <c r="O19" s="45"/>
      <c r="P19" s="43"/>
      <c r="Q19" s="43"/>
      <c r="R19" s="44"/>
      <c r="S19" s="44"/>
      <c r="T19" s="49"/>
      <c r="U19" s="45"/>
      <c r="V19" s="45"/>
      <c r="W19" s="44"/>
      <c r="X19" s="44"/>
      <c r="Y19" s="44"/>
      <c r="Z19" s="44"/>
      <c r="AA19" s="44"/>
      <c r="AB19" s="45"/>
      <c r="AC19" s="45"/>
      <c r="AD19" s="44"/>
      <c r="AE19" s="44"/>
      <c r="AF19" s="43"/>
      <c r="AG19" s="43"/>
      <c r="AH19" s="43"/>
      <c r="AI19" s="45"/>
      <c r="AJ19" s="45"/>
      <c r="AK19" s="34"/>
      <c r="AL19" s="34"/>
      <c r="AM19" s="33"/>
      <c r="AN19" s="33"/>
      <c r="AO19" s="33"/>
      <c r="AP19" s="46"/>
      <c r="AQ19" s="46"/>
    </row>
    <row r="20" spans="1:43" s="14" customFormat="1" ht="30" customHeight="1">
      <c r="A20" s="4"/>
      <c r="B20" s="23" t="s">
        <v>30</v>
      </c>
      <c r="C20" s="21" t="s">
        <v>24</v>
      </c>
      <c r="D20" s="24">
        <v>0</v>
      </c>
      <c r="E20" s="25"/>
      <c r="F20" s="35">
        <v>2</v>
      </c>
      <c r="G20" s="6"/>
      <c r="H20" s="6"/>
      <c r="I20" s="43"/>
      <c r="J20" s="43"/>
      <c r="K20" s="44"/>
      <c r="L20" s="44"/>
      <c r="M20" s="44"/>
      <c r="N20" s="45"/>
      <c r="O20" s="45"/>
      <c r="P20" s="43"/>
      <c r="Q20" s="43"/>
      <c r="R20" s="44"/>
      <c r="S20" s="44"/>
      <c r="T20" s="49"/>
      <c r="U20" s="49"/>
      <c r="V20" s="49"/>
      <c r="W20" s="44"/>
      <c r="X20" s="44"/>
      <c r="Y20" s="44"/>
      <c r="Z20" s="44"/>
      <c r="AA20" s="44"/>
      <c r="AB20" s="45"/>
      <c r="AC20" s="45"/>
      <c r="AD20" s="44"/>
      <c r="AE20" s="44"/>
      <c r="AF20" s="43"/>
      <c r="AG20" s="43"/>
      <c r="AH20" s="43"/>
      <c r="AI20" s="45"/>
      <c r="AJ20" s="45"/>
      <c r="AK20" s="34"/>
      <c r="AL20" s="34"/>
      <c r="AM20" s="33"/>
      <c r="AN20" s="33"/>
      <c r="AO20" s="33"/>
      <c r="AP20" s="46"/>
      <c r="AQ20" s="46"/>
    </row>
    <row r="21" spans="1:43" s="14" customFormat="1" ht="30" customHeight="1">
      <c r="A21" s="4"/>
      <c r="B21" s="50" t="s">
        <v>31</v>
      </c>
      <c r="C21" s="21" t="s">
        <v>24</v>
      </c>
      <c r="D21" s="24">
        <v>0</v>
      </c>
      <c r="E21" s="25"/>
      <c r="F21" s="35">
        <v>0.25</v>
      </c>
      <c r="G21" s="6"/>
      <c r="H21" s="6"/>
      <c r="I21" s="43"/>
      <c r="J21" s="43"/>
      <c r="K21" s="44"/>
      <c r="L21" s="44"/>
      <c r="M21" s="44"/>
      <c r="N21" s="45"/>
      <c r="O21" s="45"/>
      <c r="P21" s="43"/>
      <c r="Q21" s="43"/>
      <c r="R21" s="44"/>
      <c r="S21" s="44"/>
      <c r="T21" s="44"/>
      <c r="U21" s="45"/>
      <c r="V21" s="49"/>
      <c r="W21" s="44"/>
      <c r="X21" s="44"/>
      <c r="Y21" s="44"/>
      <c r="Z21" s="44"/>
      <c r="AA21" s="44"/>
      <c r="AB21" s="45"/>
      <c r="AC21" s="45"/>
      <c r="AD21" s="43"/>
      <c r="AE21" s="43"/>
      <c r="AF21" s="43"/>
      <c r="AG21" s="43"/>
      <c r="AH21" s="43"/>
      <c r="AI21" s="45"/>
      <c r="AJ21" s="45"/>
      <c r="AK21" s="33"/>
      <c r="AL21" s="33"/>
      <c r="AM21" s="33"/>
      <c r="AN21" s="33"/>
      <c r="AO21" s="33"/>
      <c r="AP21" s="46"/>
      <c r="AQ21" s="46"/>
    </row>
    <row r="22" spans="1:43" s="14" customFormat="1" ht="30" customHeight="1">
      <c r="A22" s="4"/>
      <c r="B22" s="23" t="s">
        <v>32</v>
      </c>
      <c r="C22" s="21" t="s">
        <v>28</v>
      </c>
      <c r="D22" s="24">
        <v>0</v>
      </c>
      <c r="E22" s="25"/>
      <c r="F22" s="35">
        <v>0.25</v>
      </c>
      <c r="G22" s="6"/>
      <c r="H22" s="6"/>
      <c r="I22" s="43"/>
      <c r="J22" s="43"/>
      <c r="K22" s="44"/>
      <c r="L22" s="44"/>
      <c r="M22" s="44"/>
      <c r="N22" s="45"/>
      <c r="O22" s="45"/>
      <c r="P22" s="43"/>
      <c r="Q22" s="43"/>
      <c r="R22" s="44"/>
      <c r="S22" s="44"/>
      <c r="T22" s="44"/>
      <c r="U22" s="45"/>
      <c r="V22" s="49"/>
      <c r="W22" s="44"/>
      <c r="X22" s="44"/>
      <c r="Y22" s="44"/>
      <c r="Z22" s="44"/>
      <c r="AA22" s="44"/>
      <c r="AB22" s="45"/>
      <c r="AC22" s="45"/>
      <c r="AD22" s="43"/>
      <c r="AE22" s="43"/>
      <c r="AF22" s="43"/>
      <c r="AG22" s="43"/>
      <c r="AH22" s="43"/>
      <c r="AI22" s="45"/>
      <c r="AJ22" s="45"/>
      <c r="AK22" s="33"/>
      <c r="AL22" s="33"/>
      <c r="AM22" s="33"/>
      <c r="AN22" s="33"/>
      <c r="AO22" s="33"/>
      <c r="AP22" s="46"/>
      <c r="AQ22" s="46"/>
    </row>
    <row r="23" spans="1:43" s="14" customFormat="1" ht="30" customHeight="1">
      <c r="A23" s="4"/>
      <c r="B23" s="20" t="s">
        <v>33</v>
      </c>
      <c r="C23" s="20"/>
      <c r="D23" s="20"/>
      <c r="E23" s="20"/>
      <c r="F23" s="58"/>
      <c r="G23" s="6"/>
      <c r="H23" s="6"/>
      <c r="I23" s="43"/>
      <c r="J23" s="43"/>
      <c r="K23" s="44"/>
      <c r="L23" s="44"/>
      <c r="M23" s="44"/>
      <c r="N23" s="45"/>
      <c r="O23" s="45"/>
      <c r="P23" s="43"/>
      <c r="Q23" s="43"/>
      <c r="R23" s="44"/>
      <c r="S23" s="44"/>
      <c r="T23" s="44"/>
      <c r="U23" s="45"/>
      <c r="V23" s="45"/>
      <c r="W23" s="44"/>
      <c r="X23" s="44"/>
      <c r="Y23" s="44"/>
      <c r="Z23" s="44"/>
      <c r="AA23" s="44"/>
      <c r="AB23" s="45"/>
      <c r="AC23" s="45"/>
      <c r="AD23" s="43"/>
      <c r="AE23" s="43"/>
      <c r="AF23" s="43"/>
      <c r="AG23" s="43"/>
      <c r="AH23" s="43"/>
      <c r="AI23" s="45"/>
      <c r="AJ23" s="45"/>
      <c r="AK23" s="33"/>
      <c r="AL23" s="33"/>
      <c r="AM23" s="33"/>
      <c r="AN23" s="33"/>
      <c r="AO23" s="33"/>
      <c r="AP23" s="46"/>
      <c r="AQ23" s="46"/>
    </row>
    <row r="24" spans="1:43" s="14" customFormat="1" ht="30" customHeight="1">
      <c r="A24" s="4"/>
      <c r="B24" s="23" t="s">
        <v>34</v>
      </c>
      <c r="C24" s="21" t="s">
        <v>28</v>
      </c>
      <c r="D24" s="24">
        <v>0</v>
      </c>
      <c r="E24" s="25"/>
      <c r="F24" s="35">
        <v>0.25</v>
      </c>
      <c r="G24" s="6"/>
      <c r="H24" s="6"/>
      <c r="I24" s="43"/>
      <c r="J24" s="43"/>
      <c r="K24" s="44"/>
      <c r="L24" s="44"/>
      <c r="M24" s="44"/>
      <c r="N24" s="45"/>
      <c r="O24" s="45"/>
      <c r="P24" s="43"/>
      <c r="Q24" s="43"/>
      <c r="R24" s="44"/>
      <c r="S24" s="44"/>
      <c r="T24" s="44"/>
      <c r="U24" s="45"/>
      <c r="V24" s="45"/>
      <c r="W24" s="44"/>
      <c r="X24" s="44"/>
      <c r="Y24" s="44"/>
      <c r="Z24" s="44"/>
      <c r="AA24" s="44"/>
      <c r="AB24" s="45"/>
      <c r="AC24" s="45"/>
      <c r="AD24" s="49"/>
      <c r="AE24" s="43"/>
      <c r="AF24" s="43"/>
      <c r="AG24" s="43"/>
      <c r="AH24" s="43"/>
      <c r="AI24" s="45"/>
      <c r="AJ24" s="45"/>
      <c r="AK24" s="33"/>
      <c r="AL24" s="33"/>
      <c r="AM24" s="33"/>
      <c r="AN24" s="33"/>
      <c r="AO24" s="33"/>
      <c r="AP24" s="46"/>
      <c r="AQ24" s="46"/>
    </row>
    <row r="25" spans="1:43" s="14" customFormat="1" ht="30" customHeight="1">
      <c r="A25" s="4"/>
      <c r="B25" s="23" t="s">
        <v>29</v>
      </c>
      <c r="C25" s="21" t="s">
        <v>28</v>
      </c>
      <c r="D25" s="24">
        <v>0</v>
      </c>
      <c r="E25" s="25"/>
      <c r="F25" s="35">
        <v>0.25</v>
      </c>
      <c r="G25" s="6"/>
      <c r="H25" s="6"/>
      <c r="I25" s="43"/>
      <c r="J25" s="43"/>
      <c r="K25" s="44"/>
      <c r="L25" s="44"/>
      <c r="M25" s="44"/>
      <c r="N25" s="45"/>
      <c r="O25" s="45"/>
      <c r="P25" s="43"/>
      <c r="Q25" s="43"/>
      <c r="R25" s="44"/>
      <c r="S25" s="44"/>
      <c r="T25" s="44"/>
      <c r="U25" s="45"/>
      <c r="V25" s="45"/>
      <c r="W25" s="44"/>
      <c r="X25" s="44"/>
      <c r="Y25" s="44"/>
      <c r="Z25" s="44"/>
      <c r="AA25" s="44"/>
      <c r="AB25" s="45"/>
      <c r="AC25" s="45"/>
      <c r="AD25" s="49"/>
      <c r="AE25" s="43"/>
      <c r="AF25" s="43"/>
      <c r="AG25" s="43"/>
      <c r="AH25" s="43"/>
      <c r="AI25" s="45"/>
      <c r="AJ25" s="45"/>
      <c r="AK25" s="33"/>
      <c r="AL25" s="33"/>
      <c r="AM25" s="33"/>
      <c r="AN25" s="33"/>
      <c r="AO25" s="33"/>
      <c r="AP25" s="46"/>
      <c r="AQ25" s="46"/>
    </row>
    <row r="26" spans="1:43" s="14" customFormat="1" ht="30" customHeight="1">
      <c r="A26" s="4"/>
      <c r="B26" s="23" t="s">
        <v>30</v>
      </c>
      <c r="C26" s="21" t="s">
        <v>24</v>
      </c>
      <c r="D26" s="24">
        <v>0</v>
      </c>
      <c r="E26" s="25"/>
      <c r="F26" s="35">
        <v>1.5</v>
      </c>
      <c r="G26" s="6"/>
      <c r="H26" s="6"/>
      <c r="I26" s="43"/>
      <c r="J26" s="43"/>
      <c r="K26" s="44"/>
      <c r="L26" s="44"/>
      <c r="M26" s="44"/>
      <c r="N26" s="45"/>
      <c r="O26" s="45"/>
      <c r="P26" s="43"/>
      <c r="Q26" s="43"/>
      <c r="R26" s="44"/>
      <c r="S26" s="44"/>
      <c r="T26" s="44"/>
      <c r="U26" s="45"/>
      <c r="V26" s="45"/>
      <c r="W26" s="44"/>
      <c r="X26" s="44"/>
      <c r="Y26" s="44"/>
      <c r="Z26" s="44"/>
      <c r="AA26" s="44"/>
      <c r="AB26" s="45"/>
      <c r="AC26" s="45"/>
      <c r="AD26" s="49"/>
      <c r="AE26" s="49"/>
      <c r="AF26" s="49"/>
      <c r="AG26" s="33"/>
      <c r="AH26" s="33"/>
      <c r="AI26" s="45"/>
      <c r="AJ26" s="45"/>
      <c r="AK26" s="33"/>
      <c r="AL26" s="33"/>
      <c r="AM26" s="33"/>
      <c r="AN26" s="33"/>
      <c r="AO26" s="33"/>
      <c r="AP26" s="46"/>
      <c r="AQ26" s="46"/>
    </row>
    <row r="27" spans="1:43" s="14" customFormat="1" ht="30" customHeight="1">
      <c r="A27" s="4"/>
      <c r="B27" s="51" t="s">
        <v>31</v>
      </c>
      <c r="C27" s="21" t="s">
        <v>24</v>
      </c>
      <c r="D27" s="24">
        <v>0</v>
      </c>
      <c r="E27" s="25"/>
      <c r="F27" s="35">
        <v>0.5</v>
      </c>
      <c r="G27" s="6"/>
      <c r="H27" s="6"/>
      <c r="I27" s="43"/>
      <c r="J27" s="43"/>
      <c r="K27" s="44"/>
      <c r="L27" s="44"/>
      <c r="M27" s="44"/>
      <c r="N27" s="45"/>
      <c r="O27" s="45"/>
      <c r="P27" s="43"/>
      <c r="Q27" s="43"/>
      <c r="R27" s="44"/>
      <c r="S27" s="44"/>
      <c r="T27" s="44"/>
      <c r="U27" s="45"/>
      <c r="V27" s="45"/>
      <c r="W27" s="44"/>
      <c r="X27" s="44"/>
      <c r="Y27" s="44"/>
      <c r="Z27" s="44"/>
      <c r="AA27" s="44"/>
      <c r="AB27" s="45"/>
      <c r="AC27" s="45"/>
      <c r="AD27" s="43"/>
      <c r="AE27" s="43"/>
      <c r="AF27" s="49"/>
      <c r="AG27" s="43"/>
      <c r="AH27" s="43"/>
      <c r="AI27" s="45"/>
      <c r="AJ27" s="45"/>
      <c r="AK27" s="33"/>
      <c r="AL27" s="33"/>
      <c r="AM27" s="33"/>
      <c r="AN27" s="33"/>
      <c r="AO27" s="33"/>
      <c r="AP27" s="46"/>
      <c r="AQ27" s="46"/>
    </row>
    <row r="28" spans="1:43" s="14" customFormat="1" ht="30" customHeight="1">
      <c r="A28" s="4"/>
      <c r="B28" s="23" t="s">
        <v>32</v>
      </c>
      <c r="C28" s="21" t="s">
        <v>28</v>
      </c>
      <c r="D28" s="24">
        <v>0</v>
      </c>
      <c r="E28" s="25"/>
      <c r="F28" s="35">
        <v>0.5</v>
      </c>
      <c r="G28" s="6"/>
      <c r="H28" s="6"/>
      <c r="I28" s="43"/>
      <c r="J28" s="43"/>
      <c r="K28" s="44"/>
      <c r="L28" s="44"/>
      <c r="M28" s="44"/>
      <c r="N28" s="45"/>
      <c r="O28" s="45"/>
      <c r="P28" s="43"/>
      <c r="Q28" s="43"/>
      <c r="R28" s="44"/>
      <c r="S28" s="44"/>
      <c r="T28" s="44"/>
      <c r="U28" s="45"/>
      <c r="V28" s="45"/>
      <c r="W28" s="44"/>
      <c r="X28" s="44"/>
      <c r="Y28" s="44"/>
      <c r="Z28" s="44"/>
      <c r="AA28" s="44"/>
      <c r="AB28" s="45"/>
      <c r="AC28" s="45"/>
      <c r="AD28" s="43"/>
      <c r="AE28" s="43"/>
      <c r="AF28" s="49"/>
      <c r="AG28" s="43"/>
      <c r="AH28" s="43"/>
      <c r="AI28" s="45"/>
      <c r="AJ28" s="45"/>
      <c r="AK28" s="33"/>
      <c r="AL28" s="33"/>
      <c r="AM28" s="33"/>
      <c r="AN28" s="33"/>
      <c r="AO28" s="33"/>
      <c r="AP28" s="46"/>
      <c r="AQ28" s="46"/>
    </row>
    <row r="29" spans="1:43" s="14" customFormat="1" ht="30" customHeight="1">
      <c r="A29" s="4"/>
      <c r="B29" s="20" t="s">
        <v>35</v>
      </c>
      <c r="C29" s="21"/>
      <c r="D29" s="24"/>
      <c r="E29" s="25"/>
      <c r="F29" s="35"/>
      <c r="G29" s="6"/>
      <c r="H29" s="3" t="str">
        <f t="shared" ref="H29:H32" ca="1" si="9">IF(OR(ISBLANK(task_start),ISBLANK(task_end)),"",task_end-task_start+1)</f>
        <v/>
      </c>
      <c r="I29" s="43"/>
      <c r="J29" s="43"/>
      <c r="K29" s="44"/>
      <c r="L29" s="44"/>
      <c r="M29" s="44"/>
      <c r="N29" s="45"/>
      <c r="O29" s="45"/>
      <c r="P29" s="43"/>
      <c r="Q29" s="43"/>
      <c r="R29" s="44"/>
      <c r="S29" s="44"/>
      <c r="T29" s="44"/>
      <c r="U29" s="45"/>
      <c r="V29" s="45"/>
      <c r="W29" s="44"/>
      <c r="X29" s="44"/>
      <c r="Y29" s="44"/>
      <c r="Z29" s="44"/>
      <c r="AA29" s="44"/>
      <c r="AB29" s="45"/>
      <c r="AC29" s="45"/>
      <c r="AD29" s="44"/>
      <c r="AE29" s="44"/>
      <c r="AF29" s="44"/>
      <c r="AG29" s="43"/>
      <c r="AH29" s="43"/>
      <c r="AI29" s="45"/>
      <c r="AJ29" s="45"/>
      <c r="AK29" s="34"/>
      <c r="AL29" s="34"/>
      <c r="AM29" s="34"/>
      <c r="AN29" s="33"/>
      <c r="AO29" s="33"/>
      <c r="AP29" s="46"/>
      <c r="AQ29" s="46"/>
    </row>
    <row r="30" spans="1:43" s="14" customFormat="1" ht="30" customHeight="1">
      <c r="A30" s="4"/>
      <c r="B30" s="23" t="s">
        <v>36</v>
      </c>
      <c r="C30" s="21" t="s">
        <v>24</v>
      </c>
      <c r="D30" s="24">
        <v>0</v>
      </c>
      <c r="E30" s="25"/>
      <c r="F30" s="35">
        <v>0.2</v>
      </c>
      <c r="G30" s="6"/>
      <c r="H30" s="3" t="str">
        <f t="shared" ca="1" si="9"/>
        <v/>
      </c>
      <c r="I30" s="43"/>
      <c r="J30" s="43"/>
      <c r="K30" s="44"/>
      <c r="L30" s="44"/>
      <c r="M30" s="44"/>
      <c r="N30" s="45"/>
      <c r="O30" s="45"/>
      <c r="P30" s="43"/>
      <c r="Q30" s="43"/>
      <c r="R30" s="44"/>
      <c r="S30" s="47"/>
      <c r="T30" s="44"/>
      <c r="U30" s="45"/>
      <c r="V30" s="45"/>
      <c r="W30" s="44"/>
      <c r="X30" s="44"/>
      <c r="Y30" s="44"/>
      <c r="Z30" s="44"/>
      <c r="AA30" s="44"/>
      <c r="AB30" s="45"/>
      <c r="AC30" s="45"/>
      <c r="AD30" s="44"/>
      <c r="AE30" s="44"/>
      <c r="AF30" s="44"/>
      <c r="AG30" s="43"/>
      <c r="AH30" s="43"/>
      <c r="AI30" s="45"/>
      <c r="AJ30" s="45"/>
      <c r="AK30" s="34"/>
      <c r="AL30" s="34"/>
      <c r="AM30" s="34"/>
      <c r="AN30" s="33"/>
      <c r="AO30" s="33"/>
      <c r="AP30" s="46"/>
      <c r="AQ30" s="46"/>
    </row>
    <row r="31" spans="1:43" s="14" customFormat="1" ht="30" customHeight="1">
      <c r="A31" s="4"/>
      <c r="B31" s="23" t="s">
        <v>37</v>
      </c>
      <c r="C31" s="21" t="s">
        <v>24</v>
      </c>
      <c r="D31" s="24">
        <v>0</v>
      </c>
      <c r="E31" s="25"/>
      <c r="F31" s="35">
        <v>0.2</v>
      </c>
      <c r="G31" s="6"/>
      <c r="H31" s="3"/>
      <c r="I31" s="43"/>
      <c r="J31" s="43"/>
      <c r="K31" s="44"/>
      <c r="L31" s="44"/>
      <c r="M31" s="44"/>
      <c r="N31" s="45"/>
      <c r="O31" s="45"/>
      <c r="P31" s="43"/>
      <c r="Q31" s="43"/>
      <c r="R31" s="44"/>
      <c r="S31" s="47"/>
      <c r="T31" s="44"/>
      <c r="U31" s="45"/>
      <c r="V31" s="45"/>
      <c r="W31" s="44"/>
      <c r="X31" s="44"/>
      <c r="Y31" s="44"/>
      <c r="Z31" s="44"/>
      <c r="AA31" s="44"/>
      <c r="AB31" s="45"/>
      <c r="AC31" s="45"/>
      <c r="AD31" s="44"/>
      <c r="AE31" s="44"/>
      <c r="AF31" s="44"/>
      <c r="AG31" s="43"/>
      <c r="AH31" s="43"/>
      <c r="AI31" s="45"/>
      <c r="AJ31" s="45"/>
      <c r="AK31" s="34"/>
      <c r="AL31" s="34"/>
      <c r="AM31" s="34"/>
      <c r="AN31" s="33"/>
      <c r="AO31" s="33"/>
      <c r="AP31" s="46"/>
      <c r="AQ31" s="46"/>
    </row>
    <row r="32" spans="1:43" s="14" customFormat="1" ht="30" customHeight="1">
      <c r="A32" s="4"/>
      <c r="B32" s="23" t="s">
        <v>38</v>
      </c>
      <c r="C32" s="21" t="s">
        <v>24</v>
      </c>
      <c r="D32" s="24">
        <v>0</v>
      </c>
      <c r="E32" s="25"/>
      <c r="F32" s="35">
        <v>0.2</v>
      </c>
      <c r="G32" s="6"/>
      <c r="H32" s="3"/>
      <c r="I32" s="43"/>
      <c r="J32" s="43"/>
      <c r="K32" s="44"/>
      <c r="L32" s="44"/>
      <c r="M32" s="44"/>
      <c r="N32" s="45"/>
      <c r="O32" s="45"/>
      <c r="P32" s="43"/>
      <c r="Q32" s="43"/>
      <c r="R32" s="44"/>
      <c r="S32" s="47"/>
      <c r="T32" s="44"/>
      <c r="U32" s="45"/>
      <c r="V32" s="45"/>
      <c r="W32" s="44"/>
      <c r="X32" s="44"/>
      <c r="Y32" s="44"/>
      <c r="Z32" s="44"/>
      <c r="AA32" s="44"/>
      <c r="AB32" s="45"/>
      <c r="AC32" s="45"/>
      <c r="AD32" s="44"/>
      <c r="AE32" s="44"/>
      <c r="AF32" s="44"/>
      <c r="AG32" s="43"/>
      <c r="AH32" s="43"/>
      <c r="AI32" s="45"/>
      <c r="AJ32" s="45"/>
      <c r="AK32" s="34"/>
      <c r="AL32" s="34"/>
      <c r="AM32" s="34"/>
      <c r="AN32" s="33"/>
      <c r="AO32" s="33"/>
      <c r="AP32" s="46"/>
      <c r="AQ32" s="46"/>
    </row>
    <row r="33" spans="1:45" s="14" customFormat="1" ht="30" customHeight="1">
      <c r="A33" s="4"/>
      <c r="B33" s="20" t="s">
        <v>39</v>
      </c>
      <c r="C33" s="21"/>
      <c r="D33" s="24"/>
      <c r="E33" s="25"/>
      <c r="F33" s="35"/>
      <c r="G33"/>
      <c r="H33"/>
      <c r="I33" s="26"/>
      <c r="J33" s="26"/>
      <c r="K33" s="26"/>
      <c r="L33" s="26"/>
      <c r="M33" s="26"/>
      <c r="N33" s="52"/>
      <c r="O33" s="52"/>
      <c r="P33" s="26"/>
      <c r="Q33" s="26"/>
      <c r="R33" s="26"/>
      <c r="S33" s="26"/>
      <c r="T33" s="26"/>
      <c r="U33" s="52"/>
      <c r="V33" s="52"/>
      <c r="W33" s="44"/>
      <c r="X33" s="44"/>
      <c r="Y33" s="44"/>
      <c r="Z33" s="44"/>
      <c r="AA33" s="44"/>
      <c r="AB33" s="52"/>
      <c r="AC33" s="52"/>
      <c r="AD33" s="53"/>
      <c r="AE33" s="53"/>
      <c r="AF33" s="53"/>
      <c r="AG33" s="44"/>
      <c r="AH33" s="44"/>
      <c r="AI33" s="45"/>
      <c r="AJ33" s="45"/>
      <c r="AK33" s="34"/>
      <c r="AL33" s="34"/>
      <c r="AM33" s="34"/>
      <c r="AN33" s="34"/>
      <c r="AO33" s="43"/>
      <c r="AP33" s="46"/>
      <c r="AQ33" s="46"/>
      <c r="AR33"/>
      <c r="AS33"/>
    </row>
    <row r="34" spans="1:45" s="14" customFormat="1" ht="30" customHeight="1">
      <c r="A34" s="4"/>
      <c r="B34" s="23" t="s">
        <v>40</v>
      </c>
      <c r="C34" s="21" t="s">
        <v>28</v>
      </c>
      <c r="D34" s="24">
        <v>0</v>
      </c>
      <c r="E34" s="25"/>
      <c r="F34" s="35">
        <v>3</v>
      </c>
      <c r="G34"/>
      <c r="H34"/>
      <c r="I34" s="26"/>
      <c r="J34" s="26"/>
      <c r="K34" s="26"/>
      <c r="L34" s="26"/>
      <c r="M34" s="26"/>
      <c r="N34" s="52"/>
      <c r="O34" s="52"/>
      <c r="P34" s="26"/>
      <c r="Q34" s="26"/>
      <c r="R34" s="26"/>
      <c r="S34" s="26"/>
      <c r="T34" s="26"/>
      <c r="U34" s="52"/>
      <c r="V34" s="52"/>
      <c r="W34" s="44"/>
      <c r="X34" s="44"/>
      <c r="Y34" s="44"/>
      <c r="Z34" s="44"/>
      <c r="AA34" s="44"/>
      <c r="AB34" s="52"/>
      <c r="AC34" s="52"/>
      <c r="AD34" s="43"/>
      <c r="AE34" s="43"/>
      <c r="AF34" s="43"/>
      <c r="AG34" s="44"/>
      <c r="AH34" s="44"/>
      <c r="AI34" s="45"/>
      <c r="AJ34" s="45"/>
      <c r="AK34" s="34"/>
      <c r="AL34" s="34"/>
      <c r="AM34" s="34"/>
      <c r="AN34" s="49"/>
      <c r="AO34" s="49"/>
      <c r="AP34" s="49"/>
      <c r="AQ34" s="46"/>
      <c r="AR34"/>
      <c r="AS34"/>
    </row>
    <row r="35" spans="1:45" ht="30" customHeight="1">
      <c r="B35" t="s">
        <v>41</v>
      </c>
      <c r="E35"/>
      <c r="F35" s="59">
        <f>SUBTOTAL(109,Timeline6[Days])</f>
        <v>17.999999999999996</v>
      </c>
    </row>
    <row r="36" spans="1:45" ht="15">
      <c r="B36" s="29" t="s">
        <v>42</v>
      </c>
      <c r="C36" s="29"/>
      <c r="D36" s="29"/>
      <c r="E36" s="29"/>
      <c r="F36" s="60"/>
    </row>
    <row r="37" spans="1:45" ht="30" customHeight="1">
      <c r="B37" t="s">
        <v>43</v>
      </c>
    </row>
  </sheetData>
  <mergeCells count="11">
    <mergeCell ref="A5:A6"/>
    <mergeCell ref="AK4:AQ4"/>
    <mergeCell ref="I4:O4"/>
    <mergeCell ref="P4:V4"/>
    <mergeCell ref="W4:AC4"/>
    <mergeCell ref="AD4:AJ4"/>
    <mergeCell ref="B1:F2"/>
    <mergeCell ref="I1:O1"/>
    <mergeCell ref="Q1:Z1"/>
    <mergeCell ref="I2:O2"/>
    <mergeCell ref="Q2:Z2"/>
  </mergeCells>
  <phoneticPr fontId="19" type="noConversion"/>
  <conditionalFormatting sqref="D5:D7 D33:D34">
    <cfRule type="dataBar" priority="858">
      <dataBar>
        <cfvo type="num" val="0"/>
        <cfvo type="num" val="1"/>
        <color theme="6" tint="0.79998168889431442"/>
      </dataBar>
      <extLst>
        <ext xmlns:x14="http://schemas.microsoft.com/office/spreadsheetml/2009/9/main" uri="{B025F937-C7B1-47D3-B67F-A62EFF666E3E}">
          <x14:id>{98F7043F-F97F-4251-BC17-C57A6BDD23CF}</x14:id>
        </ext>
      </extLst>
    </cfRule>
  </conditionalFormatting>
  <conditionalFormatting sqref="V6:V7 V4 AJ4 AJ6:AJ7 AJ23:AJ25 V23:V28 AQ23:AQ25 AQ33:AQ34">
    <cfRule type="expression" dxfId="33" priority="864">
      <formula>AND(TODAY()&gt;=V$5, TODAY()&lt;#REF!)</formula>
    </cfRule>
  </conditionalFormatting>
  <conditionalFormatting sqref="W4:AI4 I4:U7 V5:AJ5 W6:AI7 AK4:AP7 AP26:AP28 I23:U28 AK23:AP23 W33:AA34 AO33:AP33 AG33:AH34 AJ33:AJ34">
    <cfRule type="expression" dxfId="32" priority="859">
      <formula>AND(TODAY()&gt;=I$5, TODAY()&lt;J$5)</formula>
    </cfRule>
  </conditionalFormatting>
  <conditionalFormatting sqref="D8:D11">
    <cfRule type="dataBar" priority="230">
      <dataBar>
        <cfvo type="num" val="0"/>
        <cfvo type="num" val="1"/>
        <color theme="6" tint="0.79998168889431442"/>
      </dataBar>
      <extLst>
        <ext xmlns:x14="http://schemas.microsoft.com/office/spreadsheetml/2009/9/main" uri="{B025F937-C7B1-47D3-B67F-A62EFF666E3E}">
          <x14:id>{DF08F4C4-F1B5-4EB2-9FCE-A97D9DAFA26F}</x14:id>
        </ext>
      </extLst>
    </cfRule>
  </conditionalFormatting>
  <conditionalFormatting sqref="AJ8:AJ16 V8:V16">
    <cfRule type="expression" dxfId="31" priority="232">
      <formula>AND(TODAY()&gt;=V$5, TODAY()&lt;#REF!)</formula>
    </cfRule>
  </conditionalFormatting>
  <conditionalFormatting sqref="W8:AB8 AD8:AI8 I8:U16 W9:AI16">
    <cfRule type="expression" dxfId="30" priority="231">
      <formula>AND(TODAY()&gt;=I$5, TODAY()&lt;J$5)</formula>
    </cfRule>
  </conditionalFormatting>
  <conditionalFormatting sqref="AC8">
    <cfRule type="expression" dxfId="29" priority="229">
      <formula>AND(TODAY()&gt;=AC$5, TODAY()&lt;#REF!)</formula>
    </cfRule>
  </conditionalFormatting>
  <conditionalFormatting sqref="D12:D15">
    <cfRule type="dataBar" priority="228">
      <dataBar>
        <cfvo type="num" val="0"/>
        <cfvo type="num" val="1"/>
        <color theme="6" tint="0.79998168889431442"/>
      </dataBar>
      <extLst>
        <ext xmlns:x14="http://schemas.microsoft.com/office/spreadsheetml/2009/9/main" uri="{B025F937-C7B1-47D3-B67F-A62EFF666E3E}">
          <x14:id>{060AD675-8ECC-415B-A6C6-8FEAA969150B}</x14:id>
        </ext>
      </extLst>
    </cfRule>
  </conditionalFormatting>
  <conditionalFormatting sqref="D16">
    <cfRule type="dataBar" priority="227">
      <dataBar>
        <cfvo type="num" val="0"/>
        <cfvo type="num" val="1"/>
        <color theme="6" tint="0.79998168889431442"/>
      </dataBar>
      <extLst>
        <ext xmlns:x14="http://schemas.microsoft.com/office/spreadsheetml/2009/9/main" uri="{B025F937-C7B1-47D3-B67F-A62EFF666E3E}">
          <x14:id>{951187BE-F6A9-4C0C-A2F1-98695814A353}</x14:id>
        </ext>
      </extLst>
    </cfRule>
  </conditionalFormatting>
  <conditionalFormatting sqref="AQ8:AQ16">
    <cfRule type="expression" dxfId="28" priority="226">
      <formula>AND(TODAY()&gt;=AQ$5, TODAY()&lt;#REF!)</formula>
    </cfRule>
  </conditionalFormatting>
  <conditionalFormatting sqref="AK8:AP16">
    <cfRule type="expression" dxfId="27" priority="225">
      <formula>AND(TODAY()&gt;=AK$5, TODAY()&lt;AL$5)</formula>
    </cfRule>
  </conditionalFormatting>
  <conditionalFormatting sqref="D24:D28">
    <cfRule type="dataBar" priority="178">
      <dataBar>
        <cfvo type="num" val="0"/>
        <cfvo type="num" val="1"/>
        <color theme="6" tint="0.79998168889431442"/>
      </dataBar>
      <extLst>
        <ext xmlns:x14="http://schemas.microsoft.com/office/spreadsheetml/2009/9/main" uri="{B025F937-C7B1-47D3-B67F-A62EFF666E3E}">
          <x14:id>{8039CE94-EF54-45F0-812D-1E570EF9F5ED}</x14:id>
        </ext>
      </extLst>
    </cfRule>
  </conditionalFormatting>
  <conditionalFormatting sqref="W23:AA28 AB23:AI25 AK26:AO26 AB26:AJ28">
    <cfRule type="expression" dxfId="26" priority="179">
      <formula>AND(TODAY()&gt;=W$5, TODAY()&lt;X$5)</formula>
    </cfRule>
  </conditionalFormatting>
  <conditionalFormatting sqref="AK27:AO28 AL24:AP25 AL26:AO26">
    <cfRule type="expression" dxfId="25" priority="168">
      <formula>AND(TODAY()&gt;=AK$5, TODAY()&lt;AL$5)</formula>
    </cfRule>
  </conditionalFormatting>
  <conditionalFormatting sqref="AK24:AK26">
    <cfRule type="expression" dxfId="24" priority="165">
      <formula>AND(TODAY()&gt;=AK$5, TODAY()&lt;AL$5)</formula>
    </cfRule>
  </conditionalFormatting>
  <conditionalFormatting sqref="AD34:AF34">
    <cfRule type="expression" dxfId="23" priority="128">
      <formula>AND(TODAY()&gt;=AD$5, TODAY()&lt;AE$5)</formula>
    </cfRule>
  </conditionalFormatting>
  <conditionalFormatting sqref="AK33:AN33 AK34:AM34">
    <cfRule type="expression" dxfId="22" priority="79">
      <formula>AND(TODAY()&gt;=AK$5, TODAY()&lt;AL$5)</formula>
    </cfRule>
  </conditionalFormatting>
  <conditionalFormatting sqref="AK33:AN33 AK34:AM34">
    <cfRule type="expression" dxfId="21" priority="75">
      <formula>AND(TODAY()&gt;=AK$5, TODAY()&lt;#REF!)</formula>
    </cfRule>
  </conditionalFormatting>
  <conditionalFormatting sqref="AK33:AN33 AK34:AM34">
    <cfRule type="expression" dxfId="20" priority="74">
      <formula>AND(TODAY()&gt;=AK$5, TODAY()&lt;AL$5)</formula>
    </cfRule>
  </conditionalFormatting>
  <conditionalFormatting sqref="AI33:AI34">
    <cfRule type="expression" dxfId="19" priority="59">
      <formula>AND(TODAY()&gt;=AI$5, TODAY()&lt;#REF!)</formula>
    </cfRule>
  </conditionalFormatting>
  <conditionalFormatting sqref="AK33:AN33 AK34:AM34">
    <cfRule type="expression" dxfId="18" priority="58">
      <formula>AND(TODAY()&gt;=AK$5, TODAY()&lt;AL$5)</formula>
    </cfRule>
  </conditionalFormatting>
  <conditionalFormatting sqref="AM34">
    <cfRule type="expression" dxfId="17" priority="57">
      <formula>AND(TODAY()&gt;=AM$5, TODAY()&lt;#REF!)</formula>
    </cfRule>
  </conditionalFormatting>
  <conditionalFormatting sqref="AM34">
    <cfRule type="expression" dxfId="16" priority="56">
      <formula>AND(TODAY()&gt;=AM$5, TODAY()&lt;AN$5)</formula>
    </cfRule>
  </conditionalFormatting>
  <conditionalFormatting sqref="AN34:AP34">
    <cfRule type="expression" dxfId="15" priority="24">
      <formula>AND(TODAY()&gt;=AN$5, TODAY()&lt;AO$5)</formula>
    </cfRule>
  </conditionalFormatting>
  <conditionalFormatting sqref="AN34:AP34">
    <cfRule type="expression" dxfId="14" priority="23">
      <formula>AND(TODAY()&gt;=AN$5, TODAY()&lt;#REF!)</formula>
    </cfRule>
  </conditionalFormatting>
  <conditionalFormatting sqref="AN34:AP34">
    <cfRule type="expression" dxfId="13" priority="22">
      <formula>AND(TODAY()&gt;=AN$5, TODAY()&lt;AO$5)</formula>
    </cfRule>
  </conditionalFormatting>
  <conditionalFormatting sqref="AQ4:AQ7 AQ26:AQ28">
    <cfRule type="expression" dxfId="12" priority="866">
      <formula>AND(TODAY()&gt;=AQ$5, TODAY()&lt;#REF!)</formula>
    </cfRule>
  </conditionalFormatting>
  <conditionalFormatting sqref="D18:D22">
    <cfRule type="dataBar" priority="9">
      <dataBar>
        <cfvo type="num" val="0"/>
        <cfvo type="num" val="1"/>
        <color theme="6" tint="0.79998168889431442"/>
      </dataBar>
      <extLst>
        <ext xmlns:x14="http://schemas.microsoft.com/office/spreadsheetml/2009/9/main" uri="{B025F937-C7B1-47D3-B67F-A62EFF666E3E}">
          <x14:id>{95AE0495-E62D-4F5E-98C5-E95F0ECA017C}</x14:id>
        </ext>
      </extLst>
    </cfRule>
  </conditionalFormatting>
  <conditionalFormatting sqref="AJ17:AJ22 V17:V22">
    <cfRule type="expression" dxfId="11" priority="11">
      <formula>AND(TODAY()&gt;=V$5, TODAY()&lt;#REF!)</formula>
    </cfRule>
  </conditionalFormatting>
  <conditionalFormatting sqref="I17:U22 V20 W17:AI22">
    <cfRule type="expression" dxfId="10" priority="10">
      <formula>AND(TODAY()&gt;=I$5, TODAY()&lt;J$5)</formula>
    </cfRule>
  </conditionalFormatting>
  <conditionalFormatting sqref="V21:V22">
    <cfRule type="expression" dxfId="9" priority="8">
      <formula>AND(TODAY()&gt;=V$5, TODAY()&lt;W$5)</formula>
    </cfRule>
  </conditionalFormatting>
  <conditionalFormatting sqref="AQ17:AQ22">
    <cfRule type="expression" dxfId="8" priority="7">
      <formula>AND(TODAY()&gt;=AQ$5, TODAY()&lt;#REF!)</formula>
    </cfRule>
  </conditionalFormatting>
  <conditionalFormatting sqref="AK17:AP22">
    <cfRule type="expression" dxfId="7" priority="6">
      <formula>AND(TODAY()&gt;=AK$5, TODAY()&lt;AL$5)</formula>
    </cfRule>
  </conditionalFormatting>
  <conditionalFormatting sqref="D29:D32">
    <cfRule type="dataBar" priority="3">
      <dataBar>
        <cfvo type="num" val="0"/>
        <cfvo type="num" val="1"/>
        <color theme="6" tint="0.79998168889431442"/>
      </dataBar>
      <extLst>
        <ext xmlns:x14="http://schemas.microsoft.com/office/spreadsheetml/2009/9/main" uri="{B025F937-C7B1-47D3-B67F-A62EFF666E3E}">
          <x14:id>{7084FD8C-488B-4C65-81D1-723032D09216}</x14:id>
        </ext>
      </extLst>
    </cfRule>
  </conditionalFormatting>
  <conditionalFormatting sqref="V29:V32 AJ29:AJ32">
    <cfRule type="expression" dxfId="6" priority="5">
      <formula>AND(TODAY()&gt;=V$5, TODAY()&lt;#REF!)</formula>
    </cfRule>
  </conditionalFormatting>
  <conditionalFormatting sqref="W29:AI32 I29:U32">
    <cfRule type="expression" dxfId="5" priority="4">
      <formula>AND(TODAY()&gt;=I$5, TODAY()&lt;J$5)</formula>
    </cfRule>
  </conditionalFormatting>
  <conditionalFormatting sqref="AQ29:AQ32">
    <cfRule type="expression" dxfId="4" priority="2">
      <formula>AND(TODAY()&gt;=AQ$5, TODAY()&lt;#REF!)</formula>
    </cfRule>
  </conditionalFormatting>
  <conditionalFormatting sqref="AK29:AP32">
    <cfRule type="expression" dxfId="3" priority="1">
      <formula>AND(TODAY()&gt;=AK$5, TODAY()&lt;AL$5)</formula>
    </cfRule>
  </conditionalFormatting>
  <dataValidations count="8">
    <dataValidation allowBlank="1" showInputMessage="1" showErrorMessage="1" prompt="B9 contains the task name.  C9 is the assignee.  D9 is a progress bar that shades based on the number entered into the cell.  _x000a__x000a_E9 contains the start date and F9 contains the end date._x000a__x000a_The Gantt chart will fill in starting in cell I9 based on task dates." sqref="A10:A14" xr:uid="{403133B3-568A-4590-ABDF-CE50B60EF867}"/>
    <dataValidation allowBlank="1" showInputMessage="1" showErrorMessage="1" prompt="Cell B8 contains the Phase 1 sample title. Enter a new title in cell B8._x000a_To delete the phase and work only from tasks, simply delete this row." sqref="A9" xr:uid="{24540985-6F9B-422E-AC05-33D4270F0FFC}"/>
    <dataValidation allowBlank="1" showInputMessage="1" showErrorMessage="1" prompt="Cells I5 through BL5 contain the day number for the week represented in the cell block above each date and are auto calculated._x000a__x000a_Today's date is outlined from today's date in row 5 through the entire date column to the end of the project schedule." sqref="A5:A6" xr:uid="{56989CA8-037B-493D-B946-735A4E8526E9}"/>
    <dataValidation allowBlank="1" showInputMessage="1" showErrorMessage="1" prompt="The Display week in cell Q2 is the starting week to display in the project schedule in cell I4. The project start date is Week 1. To change the display week, enter a new week number in cell Q2._x000a__x000a_Start date for each week is auto calculated starting in I4." sqref="A4" xr:uid="{520A4E98-87E1-4E05-AA94-C2E10DCDC8FD}"/>
    <dataValidation allowBlank="1" showInputMessage="1" showErrorMessage="1" prompt="Enter the name of the Project Lead in cell C3. Enter the Project Start date in cell Q1. Project Start: label is in cell I1." sqref="A3" xr:uid="{A7B58573-C0CD-474E-B35E-A2D4213273E5}"/>
    <dataValidation allowBlank="1" showInputMessage="1" showErrorMessage="1" prompt="Enter Company name in cel B2." sqref="A2" xr:uid="{8AC776C7-E062-4955-9BAE-AA904FC16BF2}"/>
    <dataValidation allowBlank="1" showInputMessage="1" showErrorMessage="1" prompt="Create a Project Schedule in this worksheet._x000a_Enter title of this project in cell B1. _x000a_Information on how to use this worksheet, including instructions for screen readers and the author of this workbook, is in the About worksheet._x000a_" sqref="A1" xr:uid="{AF644C51-80A3-4E0C-956B-55C2CFA598EF}"/>
    <dataValidation type="whole" operator="greaterThanOrEqual" allowBlank="1" showInputMessage="1" promptTitle="Display Week" prompt="Changing this number will scroll the Gantt Chart view." sqref="Q2" xr:uid="{6C874230-1CAB-4F54-B1CA-FBF2B8CC4EA6}">
      <formula1>1</formula1>
    </dataValidation>
  </dataValidations>
  <printOptions horizontalCentered="1"/>
  <pageMargins left="0.35" right="0.35" top="0.35" bottom="0.5" header="0.3" footer="0.3"/>
  <pageSetup scale="52" fitToHeight="0" orientation="landscape" r:id="rId1"/>
  <headerFooter differentFirst="1" scaleWithDoc="0">
    <oddFooter>Page &amp;P of &amp;N</oddFooter>
  </headerFooter>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98F7043F-F97F-4251-BC17-C57A6BDD23CF}">
            <x14:dataBar minLength="0" maxLength="100" gradient="0">
              <x14:cfvo type="num">
                <xm:f>0</xm:f>
              </x14:cfvo>
              <x14:cfvo type="num">
                <xm:f>1</xm:f>
              </x14:cfvo>
              <x14:negativeFillColor rgb="FFFF0000"/>
              <x14:axisColor rgb="FF000000"/>
            </x14:dataBar>
          </x14:cfRule>
          <xm:sqref>D5:D7 D33:D34</xm:sqref>
        </x14:conditionalFormatting>
        <x14:conditionalFormatting xmlns:xm="http://schemas.microsoft.com/office/excel/2006/main">
          <x14:cfRule type="dataBar" id="{DF08F4C4-F1B5-4EB2-9FCE-A97D9DAFA26F}">
            <x14:dataBar minLength="0" maxLength="100" gradient="0">
              <x14:cfvo type="num">
                <xm:f>0</xm:f>
              </x14:cfvo>
              <x14:cfvo type="num">
                <xm:f>1</xm:f>
              </x14:cfvo>
              <x14:negativeFillColor rgb="FFFF0000"/>
              <x14:axisColor rgb="FF000000"/>
            </x14:dataBar>
          </x14:cfRule>
          <xm:sqref>D8:D11</xm:sqref>
        </x14:conditionalFormatting>
        <x14:conditionalFormatting xmlns:xm="http://schemas.microsoft.com/office/excel/2006/main">
          <x14:cfRule type="dataBar" id="{060AD675-8ECC-415B-A6C6-8FEAA969150B}">
            <x14:dataBar minLength="0" maxLength="100" gradient="0">
              <x14:cfvo type="num">
                <xm:f>0</xm:f>
              </x14:cfvo>
              <x14:cfvo type="num">
                <xm:f>1</xm:f>
              </x14:cfvo>
              <x14:negativeFillColor rgb="FFFF0000"/>
              <x14:axisColor rgb="FF000000"/>
            </x14:dataBar>
          </x14:cfRule>
          <xm:sqref>D12:D15</xm:sqref>
        </x14:conditionalFormatting>
        <x14:conditionalFormatting xmlns:xm="http://schemas.microsoft.com/office/excel/2006/main">
          <x14:cfRule type="dataBar" id="{951187BE-F6A9-4C0C-A2F1-98695814A353}">
            <x14:dataBar minLength="0" maxLength="100" gradient="0">
              <x14:cfvo type="num">
                <xm:f>0</xm:f>
              </x14:cfvo>
              <x14:cfvo type="num">
                <xm:f>1</xm:f>
              </x14:cfvo>
              <x14:negativeFillColor rgb="FFFF0000"/>
              <x14:axisColor rgb="FF000000"/>
            </x14:dataBar>
          </x14:cfRule>
          <xm:sqref>D16</xm:sqref>
        </x14:conditionalFormatting>
        <x14:conditionalFormatting xmlns:xm="http://schemas.microsoft.com/office/excel/2006/main">
          <x14:cfRule type="dataBar" id="{8039CE94-EF54-45F0-812D-1E570EF9F5ED}">
            <x14:dataBar minLength="0" maxLength="100" gradient="0">
              <x14:cfvo type="num">
                <xm:f>0</xm:f>
              </x14:cfvo>
              <x14:cfvo type="num">
                <xm:f>1</xm:f>
              </x14:cfvo>
              <x14:negativeFillColor rgb="FFFF0000"/>
              <x14:axisColor rgb="FF000000"/>
            </x14:dataBar>
          </x14:cfRule>
          <xm:sqref>D24:D28</xm:sqref>
        </x14:conditionalFormatting>
        <x14:conditionalFormatting xmlns:xm="http://schemas.microsoft.com/office/excel/2006/main">
          <x14:cfRule type="dataBar" id="{95AE0495-E62D-4F5E-98C5-E95F0ECA017C}">
            <x14:dataBar minLength="0" maxLength="100" gradient="0">
              <x14:cfvo type="num">
                <xm:f>0</xm:f>
              </x14:cfvo>
              <x14:cfvo type="num">
                <xm:f>1</xm:f>
              </x14:cfvo>
              <x14:negativeFillColor rgb="FFFF0000"/>
              <x14:axisColor rgb="FF000000"/>
            </x14:dataBar>
          </x14:cfRule>
          <xm:sqref>D18:D22</xm:sqref>
        </x14:conditionalFormatting>
        <x14:conditionalFormatting xmlns:xm="http://schemas.microsoft.com/office/excel/2006/main">
          <x14:cfRule type="dataBar" id="{7084FD8C-488B-4C65-81D1-723032D09216}">
            <x14:dataBar minLength="0" maxLength="100" gradient="0">
              <x14:cfvo type="num">
                <xm:f>0</xm:f>
              </x14:cfvo>
              <x14:cfvo type="num">
                <xm:f>1</xm:f>
              </x14:cfvo>
              <x14:negativeFillColor rgb="FFFF0000"/>
              <x14:axisColor rgb="FF000000"/>
            </x14:dataBar>
          </x14:cfRule>
          <xm:sqref>D29:D32</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38D72B-C436-46FD-AD64-412AC966F321}">
  <dimension ref="A1"/>
  <sheetViews>
    <sheetView workbookViewId="0">
      <selection activeCell="F4" sqref="A1:XFD1048576"/>
    </sheetView>
  </sheetViews>
  <sheetFormatPr defaultColWidth="8.625" defaultRowHeight="14.1"/>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87E49F4A9D38F4DA224B84DAB125834" ma:contentTypeVersion="14" ma:contentTypeDescription="Create a new document." ma:contentTypeScope="" ma:versionID="234c07770aff4f85ae04a03abcf21cca">
  <xsd:schema xmlns:xsd="http://www.w3.org/2001/XMLSchema" xmlns:xs="http://www.w3.org/2001/XMLSchema" xmlns:p="http://schemas.microsoft.com/office/2006/metadata/properties" xmlns:ns2="4967ef30-fbb9-4e74-9e3e-fac25315307d" xmlns:ns3="dfc8e0d8-ebb7-47f7-b5b5-8243f5a5df61" targetNamespace="http://schemas.microsoft.com/office/2006/metadata/properties" ma:root="true" ma:fieldsID="d32ecaf06044ba778a72a432e843aa5e" ns2:_="" ns3:_="">
    <xsd:import namespace="4967ef30-fbb9-4e74-9e3e-fac25315307d"/>
    <xsd:import namespace="dfc8e0d8-ebb7-47f7-b5b5-8243f5a5df61"/>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967ef30-fbb9-4e74-9e3e-fac25315307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870adad4-48a0-4c93-9cc3-090ef2fbae2a"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fc8e0d8-ebb7-47f7-b5b5-8243f5a5df61"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d61a531a-7986-4e65-8c35-06db96cdcec6}" ma:internalName="TaxCatchAll" ma:showField="CatchAllData" ma:web="dfc8e0d8-ebb7-47f7-b5b5-8243f5a5df61">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dfc8e0d8-ebb7-47f7-b5b5-8243f5a5df61" xsi:nil="true"/>
    <lcf76f155ced4ddcb4097134ff3c332f xmlns="4967ef30-fbb9-4e74-9e3e-fac25315307d">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B23CE89-8F73-4273-9AA9-AF977C269CFB}"/>
</file>

<file path=customXml/itemProps2.xml><?xml version="1.0" encoding="utf-8"?>
<ds:datastoreItem xmlns:ds="http://schemas.openxmlformats.org/officeDocument/2006/customXml" ds:itemID="{A82239A0-E68C-493F-BEE6-C77FEA397FD6}"/>
</file>

<file path=customXml/itemProps3.xml><?xml version="1.0" encoding="utf-8"?>
<ds:datastoreItem xmlns:ds="http://schemas.openxmlformats.org/officeDocument/2006/customXml" ds:itemID="{97245281-08F3-4104-84BD-39F3D8CFB195}"/>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TM16400962</Template>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Helmi Farhan Maspaitella</dc:creator>
  <cp:keywords/>
  <dc:description/>
  <cp:lastModifiedBy>Lilik Giri Rezando</cp:lastModifiedBy>
  <cp:revision/>
  <dcterms:created xsi:type="dcterms:W3CDTF">2022-03-11T22:41:12Z</dcterms:created>
  <dcterms:modified xsi:type="dcterms:W3CDTF">2026-07-04T08:04:31Z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0x010100487E49F4A9D38F4DA224B84DAB125834</vt:lpwstr>
  </property>
  <property fmtid="{D5CDD505-2E9C-101B-9397-08002B2CF9AE}" pid="3" name="MediaServiceImageTags">
    <vt:lpwstr/>
  </property>
</Properties>
</file>